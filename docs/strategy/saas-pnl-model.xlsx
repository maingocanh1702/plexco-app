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73cbd7b8d542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umptions" sheetId="1" r:id="Re84fbe3a3e10469c"/>
    <x:sheet xmlns:r="http://schemas.openxmlformats.org/officeDocument/2006/relationships" name="P&amp;L Model" sheetId="2" r:id="R12d2431b4da340d4"/>
    <x:sheet xmlns:r="http://schemas.openxmlformats.org/officeDocument/2006/relationships" name="Checks" sheetId="3" r:id="R7183b2f89ae545c7"/>
    <x:sheet xmlns:r="http://schemas.openxmlformats.org/officeDocument/2006/relationships" name="Sources" sheetId="4" r:id="Reff1e1ef1c664d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"/>
    <x:numFmt numFmtId="201" formatCode="#,##0 &quot;VND&quot;"/>
    <x:numFmt numFmtId="202" formatCode="0%"/>
    <x:numFmt numFmtId="203" formatCode="$#,##0.00"/>
    <x:numFmt numFmtId="204" formatCode="0.0%"/>
    <x:numFmt numFmtId="205" formatCode="$#,##0"/>
  </x:numFmts>
  <x:fonts count="16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72033"/>
      <x:name val="Carlito"/>
    </x:font>
    <x:font>
      <x:b/>
      <x:sz val="11"/>
      <x:color rgb="FFFFFFFF"/>
      <x:name val="Carlito"/>
    </x:font>
    <x:font>
      <x:b/>
      <x:sz val="11"/>
      <x:color rgb="FF102A43"/>
      <x:name val="Carlito"/>
    </x:font>
    <x:font>
      <x:b/>
      <x:sz val="11"/>
      <x:color rgb="FF172033"/>
      <x:name val="Carlito"/>
    </x:font>
    <x:font>
      <x:b/>
      <x:sz val="18"/>
      <x:color rgb="FF172033"/>
      <x:name val="Aptos"/>
    </x:font>
    <x:font>
      <x:i/>
      <x:sz val="10"/>
      <x:color rgb="FF172033"/>
      <x:name val="Aptos"/>
    </x:font>
    <x:font>
      <x:sz val="11"/>
      <x:color rgb="FF172033"/>
      <x:name val="Aptos"/>
    </x:font>
    <x:font>
      <x:b/>
      <x:sz val="11"/>
      <x:color rgb="FF172033"/>
      <x:name val="Aptos"/>
    </x:font>
    <x:font>
      <x:b/>
      <x:sz val="18"/>
      <x:color rgb="FFFFFFFF"/>
      <x:name val="Aptos Display"/>
    </x:font>
    <x:font>
      <x:b/>
      <x:sz val="11"/>
      <x:color rgb="FF1D4ED8"/>
      <x:name val="Carlito"/>
    </x:font>
    <x:font>
      <x:sz val="11"/>
      <x:color rgb="FF1D4ED8"/>
      <x:name val="Carlito"/>
    </x:font>
    <x:font>
      <x:b/>
      <x:sz val="11"/>
      <x:color rgb="FFFFFFFF"/>
      <x:name val="Aptos"/>
    </x:font>
    <x:font>
      <x:b/>
      <x:sz val="11"/>
      <x:color rgb="FF102A43"/>
      <x:name val="Aptos"/>
    </x:font>
    <x:font>
      <x:b/>
      <x:sz val="11"/>
      <x:color rgb="FF7F6000"/>
      <x:name val="Aptos"/>
    </x:font>
  </x:fonts>
  <x:fills count="14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E8EEF5"/>
      </x:patternFill>
    </x:fill>
    <x:fill>
      <x:patternFill patternType="solid">
        <x:fgColor rgb="FF0F766E"/>
      </x:patternFill>
    </x:fill>
    <x:fill>
      <x:patternFill patternType="solid">
        <x:fgColor rgb="FFD8E4F0"/>
      </x:patternFill>
    </x:fill>
    <x:fill>
      <x:patternFill patternType="solid">
        <x:fgColor rgb="FFDBEAFE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F3F4F6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</x:fills>
  <x:borders count="5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D6B656"/>
      </x:left>
      <x:top style="thin">
        <x:color rgb="FFD6B656"/>
      </x:top>
      <x:bottom style="thin">
        <x:color rgb="FFD6B656"/>
      </x:bottom>
    </x:border>
    <x:border>
      <x:top style="thin">
        <x:color rgb="FFD6B656"/>
      </x:top>
      <x:bottom style="thin">
        <x:color rgb="FFD6B656"/>
      </x:bottom>
    </x:border>
    <x:border>
      <x:right style="thin">
        <x:color rgb="FFD6B656"/>
      </x:right>
      <x:top style="thin">
        <x:color rgb="FFD6B656"/>
      </x:top>
      <x:bottom style="thin">
        <x:color rgb="FFD6B656"/>
      </x:bottom>
    </x:border>
  </x:borders>
  <x:cellStyleXfs count="1">
    <x:xf numFmtId="0" fontId="0" fillId="0" borderId="0"/>
  </x:cellStyleXfs>
  <x:cellXfs count="10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6" borderId="1" xfId="0" applyNumberFormat="1" applyFont="1" applyFill="1" applyBorder="1" applyAlignment="1">
      <x:alignment vertical="center"/>
    </x:xf>
    <x:xf numFmtId="0" fontId="0" fillId="7" borderId="1" xfId="0" applyNumberFormat="1" applyFont="1" applyFill="1" applyBorder="1" applyAlignment="1">
      <x:alignment vertical="center"/>
    </x:xf>
    <x:xf numFmtId="200" fontId="0" fillId="6" borderId="1" xfId="0" applyNumberFormat="1" applyFont="1" applyFill="1" applyBorder="1" applyAlignment="1">
      <x:alignment vertical="center"/>
    </x:xf>
    <x:xf numFmtId="201" fontId="0" fillId="6" borderId="1" xfId="0" applyNumberFormat="1" applyFont="1" applyFill="1" applyBorder="1" applyAlignment="1">
      <x:alignment vertical="center"/>
    </x:xf>
    <x:xf numFmtId="202" fontId="0" fillId="6" borderId="1" xfId="0" applyNumberFormat="1" applyFont="1" applyFill="1" applyBorder="1" applyAlignment="1">
      <x:alignment vertical="center"/>
    </x:xf>
    <x:xf numFmtId="203" fontId="0" fillId="6" borderId="1" xfId="0" applyNumberFormat="1" applyFont="1" applyFill="1" applyBorder="1" applyAlignment="1">
      <x:alignment vertical="center"/>
    </x:xf>
    <x:xf numFmtId="203" fontId="0" fillId="0" borderId="1" xfId="0" applyNumberFormat="1" applyFont="1" applyFill="1" applyBorder="1" applyAlignment="1">
      <x:alignment vertical="center"/>
    </x:xf>
    <x:xf numFmtId="203" fontId="0" fillId="7" borderId="1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2" xfId="0" applyNumberFormat="1" applyFont="1" applyFill="1" applyBorder="1"/>
    <x:xf numFmtId="0" fontId="5" fillId="8" borderId="3" xfId="0" applyNumberFormat="1" applyFont="1" applyFill="1" applyBorder="1"/>
    <x:xf numFmtId="0" fontId="5" fillId="8" borderId="4" xfId="0" applyNumberFormat="1" applyFont="1" applyFill="1" applyBorder="1"/>
    <x:xf numFmtId="0" fontId="5" fillId="8" borderId="2" xfId="0" applyNumberFormat="1" applyFont="1" applyFill="1" applyBorder="1" applyAlignment="1">
      <x:alignment wrapText="1"/>
    </x:xf>
    <x:xf numFmtId="0" fontId="5" fillId="8" borderId="3" xfId="0" applyNumberFormat="1" applyFont="1" applyFill="1" applyBorder="1" applyAlignment="1">
      <x:alignment wrapText="1"/>
    </x:xf>
    <x:xf numFmtId="0" fontId="5" fillId="8" borderId="4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9" fillId="4" borderId="0" xfId="0" applyNumberFormat="1" applyFont="1" applyFill="1" applyBorder="1" applyAlignment="1">
      <x:alignment vertical="center"/>
    </x:xf>
    <x:xf numFmtId="0" fontId="9" fillId="5" borderId="1" xfId="0" applyNumberFormat="1" applyFont="1" applyFill="1" applyBorder="1" applyAlignment="1">
      <x:alignment vertical="center" wrapText="1"/>
    </x:xf>
    <x:xf numFmtId="0" fontId="8" fillId="0" borderId="1" xfId="0" applyNumberFormat="1" applyFont="1" applyFill="1" applyBorder="1" applyAlignment="1">
      <x:alignment vertical="center"/>
    </x:xf>
    <x:xf numFmtId="200" fontId="8" fillId="6" borderId="1" xfId="0" applyNumberFormat="1" applyFont="1" applyFill="1" applyBorder="1" applyAlignment="1">
      <x:alignment vertical="center"/>
    </x:xf>
    <x:xf numFmtId="201" fontId="8" fillId="6" borderId="1" xfId="0" applyNumberFormat="1" applyFont="1" applyFill="1" applyBorder="1" applyAlignment="1">
      <x:alignment vertical="center"/>
    </x:xf>
    <x:xf numFmtId="202" fontId="8" fillId="6" borderId="1" xfId="0" applyNumberFormat="1" applyFont="1" applyFill="1" applyBorder="1" applyAlignment="1">
      <x:alignment vertical="center"/>
    </x:xf>
    <x:xf numFmtId="203" fontId="8" fillId="6" borderId="1" xfId="0" applyNumberFormat="1" applyFont="1" applyFill="1" applyBorder="1" applyAlignment="1">
      <x:alignment vertical="center"/>
    </x:xf>
    <x:xf numFmtId="203" fontId="8" fillId="0" borderId="1" xfId="0" applyNumberFormat="1" applyFont="1" applyFill="1" applyBorder="1" applyAlignment="1">
      <x:alignment vertical="center"/>
    </x:xf>
    <x:xf numFmtId="203" fontId="8" fillId="7" borderId="1" xfId="0" applyNumberFormat="1" applyFont="1" applyFill="1" applyBorder="1" applyAlignment="1">
      <x:alignment vertical="center"/>
    </x:xf>
    <x:xf numFmtId="0" fontId="9" fillId="8" borderId="2" xfId="0" applyNumberFormat="1" applyFont="1" applyFill="1" applyBorder="1" applyAlignment="1">
      <x:alignment wrapText="1"/>
    </x:xf>
    <x:xf numFmtId="0" fontId="9" fillId="8" borderId="3" xfId="0" applyNumberFormat="1" applyFont="1" applyFill="1" applyBorder="1" applyAlignment="1">
      <x:alignment wrapText="1"/>
    </x:xf>
    <x:xf numFmtId="0" fontId="9" fillId="8" borderId="4" xfId="0" applyNumberFormat="1" applyFont="1" applyFill="1" applyBorder="1" applyAlignment="1">
      <x:alignment wrapText="1"/>
    </x:xf>
    <x:xf numFmtId="0" fontId="10" fillId="2" borderId="0" xfId="0" applyNumberFormat="1" applyFont="1" applyFill="1" applyBorder="1" applyAlignment="1">
      <x:alignment vertical="center"/>
    </x:xf>
    <x:xf numFmtId="0" fontId="8" fillId="0" borderId="1" xfId="0" applyNumberFormat="1" applyFont="1" applyFill="1" applyBorder="1" applyAlignment="1">
      <x:alignment vertical="center" wrapText="1"/>
    </x:xf>
    <x:xf numFmtId="0" fontId="11" fillId="6" borderId="1" xfId="0" applyNumberFormat="1" applyFont="1" applyFill="1" applyBorder="1" applyAlignment="1">
      <x:alignment vertical="center"/>
    </x:xf>
    <x:xf numFmtId="0" fontId="0" fillId="9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3" fontId="11" fillId="6" borderId="1" xfId="0" applyNumberFormat="1" applyFont="1" applyFill="1" applyBorder="1" applyAlignment="1">
      <x:alignment vertical="center"/>
    </x:xf>
    <x:xf numFmtId="203" fontId="0" fillId="9" borderId="1" xfId="0" applyNumberFormat="1" applyFont="1" applyFill="1" applyBorder="1" applyAlignment="1">
      <x:alignment vertical="center"/>
    </x:xf>
    <x:xf numFmtId="204" fontId="0" fillId="7" borderId="1" xfId="0" applyNumberFormat="1" applyFont="1" applyFill="1" applyBorder="1" applyAlignment="1">
      <x:alignment vertical="center"/>
    </x:xf>
    <x:xf numFmtId="205" fontId="0" fillId="0" borderId="1" xfId="0" applyNumberFormat="1" applyFont="1" applyFill="1" applyBorder="1" applyAlignment="1">
      <x:alignment vertical="center"/>
    </x:xf>
    <x:xf numFmtId="205" fontId="3" fillId="2" borderId="1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204" fontId="0" fillId="0" borderId="1" xfId="0" applyNumberFormat="1" applyFont="1" applyFill="1" applyBorder="1" applyAlignment="1">
      <x:alignment vertical="center"/>
    </x:xf>
    <x:xf numFmtId="200" fontId="8" fillId="0" borderId="1" xfId="0" applyNumberFormat="1" applyFont="1" applyFill="1" applyBorder="1" applyAlignment="1">
      <x:alignment vertical="center"/>
    </x:xf>
    <x:xf numFmtId="201" fontId="8" fillId="0" borderId="1" xfId="0" applyNumberFormat="1" applyFont="1" applyFill="1" applyBorder="1" applyAlignment="1">
      <x:alignment vertical="center"/>
    </x:xf>
    <x:xf numFmtId="203" fontId="9" fillId="6" borderId="1" xfId="0" applyNumberFormat="1" applyFont="1" applyFill="1" applyBorder="1" applyAlignment="1">
      <x:alignment vertical="center"/>
    </x:xf>
    <x:xf numFmtId="0" fontId="8" fillId="9" borderId="1" xfId="0" applyNumberFormat="1" applyFont="1" applyFill="1" applyBorder="1" applyAlignment="1">
      <x:alignment vertical="center"/>
    </x:xf>
    <x:xf numFmtId="203" fontId="8" fillId="9" borderId="1" xfId="0" applyNumberFormat="1" applyFont="1" applyFill="1" applyBorder="1" applyAlignment="1">
      <x:alignment vertical="center"/>
    </x:xf>
    <x:xf numFmtId="0" fontId="8" fillId="7" borderId="1" xfId="0" applyNumberFormat="1" applyFont="1" applyFill="1" applyBorder="1" applyAlignment="1">
      <x:alignment vertical="center"/>
    </x:xf>
    <x:xf numFmtId="204" fontId="8" fillId="7" borderId="1" xfId="0" applyNumberFormat="1" applyFont="1" applyFill="1" applyBorder="1" applyAlignment="1">
      <x:alignment vertical="center"/>
    </x:xf>
    <x:xf numFmtId="205" fontId="8" fillId="0" borderId="1" xfId="0" applyNumberFormat="1" applyFont="1" applyFill="1" applyBorder="1" applyAlignment="1">
      <x:alignment vertical="center"/>
    </x:xf>
    <x:xf numFmtId="0" fontId="9" fillId="2" borderId="1" xfId="0" applyNumberFormat="1" applyFont="1" applyFill="1" applyBorder="1" applyAlignment="1">
      <x:alignment vertical="center"/>
    </x:xf>
    <x:xf numFmtId="205" fontId="9" fillId="2" borderId="1" xfId="0" applyNumberFormat="1" applyFont="1" applyFill="1" applyBorder="1" applyAlignment="1">
      <x:alignment vertical="center"/>
    </x:xf>
    <x:xf numFmtId="202" fontId="8" fillId="0" borderId="1" xfId="0" applyNumberFormat="1" applyFont="1" applyFill="1" applyBorder="1" applyAlignment="1">
      <x:alignment vertical="center"/>
    </x:xf>
    <x:xf numFmtId="204" fontId="8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0" fontId="12" fillId="0" borderId="1" xfId="0" applyNumberFormat="1" applyFont="1" applyFill="1" applyBorder="1" applyAlignment="1">
      <x:alignment vertical="center"/>
    </x:xf>
    <x:xf numFmtId="0" fontId="12" fillId="0" borderId="1" xfId="0" applyNumberFormat="1" applyFont="1" applyFill="1" applyBorder="1" applyAlignment="1">
      <x:alignment vertical="center" wrapText="1"/>
    </x:xf>
    <x:xf numFmtId="0" fontId="13" fillId="4" borderId="0" xfId="0" applyNumberFormat="1" applyFont="1" applyFill="1" applyBorder="1" applyAlignment="1">
      <x:alignment vertical="center"/>
    </x:xf>
    <x:xf numFmtId="0" fontId="14" fillId="5" borderId="1" xfId="0" applyNumberFormat="1" applyFont="1" applyFill="1" applyBorder="1" applyAlignment="1">
      <x:alignment vertical="center" wrapText="1"/>
    </x:xf>
    <x:xf numFmtId="0" fontId="13" fillId="2" borderId="1" xfId="0" applyNumberFormat="1" applyFont="1" applyFill="1" applyBorder="1" applyAlignment="1">
      <x:alignment vertical="center"/>
    </x:xf>
    <x:xf numFmtId="205" fontId="13" fillId="2" borderId="1" xfId="0" applyNumberFormat="1" applyFont="1" applyFill="1" applyBorder="1" applyAlignment="1">
      <x:alignment vertical="center"/>
    </x:xf>
    <x:xf numFmtId="0" fontId="8" fillId="10" borderId="0" xfId="0" applyNumberFormat="1" applyFont="1" applyFill="1" applyBorder="1"/>
    <x:xf numFmtId="0" fontId="15" fillId="10" borderId="0" xfId="0" applyNumberFormat="1" applyFont="1" applyFill="1" applyBorder="1"/>
    <x:xf numFmtId="0" fontId="15" fillId="10" borderId="2" xfId="0" applyNumberFormat="1" applyFont="1" applyFill="1" applyBorder="1"/>
    <x:xf numFmtId="0" fontId="15" fillId="10" borderId="3" xfId="0" applyNumberFormat="1" applyFont="1" applyFill="1" applyBorder="1"/>
    <x:xf numFmtId="0" fontId="15" fillId="10" borderId="4" xfId="0" applyNumberFormat="1" applyFont="1" applyFill="1" applyBorder="1"/>
    <x:xf numFmtId="0" fontId="15" fillId="10" borderId="2" xfId="0" applyNumberFormat="1" applyFont="1" applyFill="1" applyBorder="1" applyAlignment="1">
      <x:alignment vertical="center"/>
    </x:xf>
    <x:xf numFmtId="0" fontId="15" fillId="10" borderId="3" xfId="0" applyNumberFormat="1" applyFont="1" applyFill="1" applyBorder="1" applyAlignment="1">
      <x:alignment vertical="center"/>
    </x:xf>
    <x:xf numFmtId="0" fontId="15" fillId="10" borderId="4" xfId="0" applyNumberFormat="1" applyFont="1" applyFill="1" applyBorder="1" applyAlignment="1">
      <x:alignment vertical="center"/>
    </x:xf>
    <x:xf numFmtId="0" fontId="15" fillId="10" borderId="4" xfId="0" applyNumberFormat="1" applyFont="1" applyFill="1" applyBorder="1" applyAlignment="1">
      <x:alignment vertical="center" wrapText="1"/>
    </x:xf>
    <x:xf numFmtId="203" fontId="8" fillId="11" borderId="1" xfId="0" applyNumberFormat="1" applyFont="1" applyFill="1" applyBorder="1" applyAlignment="1">
      <x:alignment vertical="center"/>
    </x:xf>
    <x:xf numFmtId="204" fontId="8" fillId="11" borderId="1" xfId="0" applyNumberFormat="1" applyFont="1" applyFill="1" applyBorder="1" applyAlignment="1">
      <x:alignment vertical="center"/>
    </x:xf>
    <x:xf numFmtId="205" fontId="13" fillId="11" borderId="1" xfId="0" applyNumberFormat="1" applyFont="1" applyFill="1" applyBorder="1" applyAlignment="1">
      <x:alignment vertical="center"/>
    </x:xf>
    <x:xf numFmtId="0" fontId="15" fillId="12" borderId="2" xfId="0" applyNumberFormat="1" applyFont="1" applyFill="1" applyBorder="1" applyAlignment="1">
      <x:alignment vertical="center"/>
    </x:xf>
    <x:xf numFmtId="0" fontId="15" fillId="12" borderId="3" xfId="0" applyNumberFormat="1" applyFont="1" applyFill="1" applyBorder="1" applyAlignment="1">
      <x:alignment vertical="center"/>
    </x:xf>
    <x:xf numFmtId="0" fontId="15" fillId="12" borderId="4" xfId="0" applyNumberFormat="1" applyFont="1" applyFill="1" applyBorder="1" applyAlignment="1">
      <x:alignment vertical="center" wrapText="1"/>
    </x:xf>
    <x:xf numFmtId="203" fontId="8" fillId="13" borderId="1" xfId="0" applyNumberFormat="1" applyFont="1" applyFill="1" applyBorder="1" applyAlignment="1">
      <x:alignment vertical="center"/>
    </x:xf>
    <x:xf numFmtId="204" fontId="8" fillId="13" borderId="1" xfId="0" applyNumberFormat="1" applyFont="1" applyFill="1" applyBorder="1" applyAlignment="1">
      <x:alignment vertical="center"/>
    </x:xf>
    <x:xf numFmtId="205" fontId="13" fillId="13" borderId="1" xfId="0" applyNumberFormat="1" applyFont="1" applyFill="1" applyBorder="1" applyAlignment="1">
      <x:alignment vertical="center"/>
    </x:xf>
  </x:cellXfs>
  <x:cellStyles count="1">
    <x:cellStyle name="Normal" xfId="0"/>
  </x:cellStyles>
  <x:dxfs count="25">
    <x:dxf>
      <x:font>
        <x:b/>
        <x:color rgb="FF991B1B"/>
      </x:font>
      <x:fill>
        <x:patternFill>
          <x:bgColor rgb="FFFEE2E2"/>
        </x:patternFill>
      </x:fill>
    </x:dxf>
    <x:dxf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color rgb="FF274E13"/>
      </x:font>
      <x:fill>
        <x:patternFill>
          <x:bgColor rgb="FFD9EAD3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color rgb="FF274E13"/>
      </x:font>
      <x:fill>
        <x:patternFill>
          <x:bgColor rgb="FFD9EAD3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color rgb="FF274E13"/>
      </x:font>
      <x:fill>
        <x:patternFill>
          <x:bgColor rgb="FFD9EAD3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1c441887724bc5" /><Relationship Type="http://schemas.openxmlformats.org/officeDocument/2006/relationships/theme" Target="/xl/theme/theme1.xml" Id="R67a6e7a325094c73" /><Relationship Type="http://schemas.openxmlformats.org/officeDocument/2006/relationships/sharedStrings" Target="/xl/sharedStrings.xml" Id="R7b7f23d483b148d2" /><Relationship Type="http://schemas.openxmlformats.org/officeDocument/2006/relationships/worksheet" Target="/xl/worksheets/sheet1.xml" Id="Re84fbe3a3e10469c" /><Relationship Type="http://schemas.openxmlformats.org/officeDocument/2006/relationships/worksheet" Target="/xl/worksheets/sheet2.xml" Id="R12d2431b4da340d4" /><Relationship Type="http://schemas.openxmlformats.org/officeDocument/2006/relationships/worksheet" Target="/xl/worksheets/sheet3.xml" Id="R7183b2f89ae545c7" /><Relationship Type="http://schemas.openxmlformats.org/officeDocument/2006/relationships/worksheet" Target="/xl/worksheets/sheet4.xml" Id="Reff1e1ef1c664d2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24" hidden="0" customWidth="1"/>
    <x:col min="4" max="4" width="68" hidden="0" customWidth="1"/>
  </x:cols>
  <x:sheetData>
    <x:row r="1" ht="34" customHeight="1">
      <x:c r="A1" s="49" t="str">
        <x:v>PLEXCO — P&amp;L PLANNING ASSUMPTIONS</x:v>
      </x:c>
      <x:c r="B1" s="49" t="str">
        <x:v>PLEXCO — P&amp;L PLANNING ASSUMPTIONS</x:v>
      </x:c>
      <x:c r="C1" s="49" t="str">
        <x:v>PLEXCO — P&amp;L PLANNING ASSUMPTIONS</x:v>
      </x:c>
      <x:c r="D1" s="49" t="str">
        <x:v>PLEXCO — P&amp;L PLANNING ASSUMPTIONS</x:v>
      </x:c>
    </x:row>
    <x:row r="2" ht="32" customHeight="1">
      <x:c r="A2" s="35" t="str">
        <x:v>Editable blue cells drive every formula. This is a sensitivity model, not a host-count capacity forecast.</x:v>
      </x:c>
      <x:c r="B2" s="35" t="str">
        <x:v>Editable blue cells drive every formula. This is a sensitivity model, not a host-count capacity forecast.</x:v>
      </x:c>
      <x:c r="C2" s="35" t="str">
        <x:v>Editable blue cells drive every formula. This is a sensitivity model, not a host-count capacity forecast.</x:v>
      </x:c>
      <x:c r="D2" s="35" t="str">
        <x:v>Editable blue cells drive every formula. This is a sensitivity model, not a host-count capacity forecast.</x:v>
      </x:c>
    </x:row>
    <x:row r="3">
      <x:c r="A3" s="36"/>
      <x:c r="B3" s="36"/>
      <x:c r="C3" s="36"/>
      <x:c r="D3" s="36"/>
    </x:row>
    <x:row r="4" ht="24" customHeight="1">
      <x:c r="A4" s="79" t="str">
        <x:v>Canonical pricing, conversion sensitivity, and infrastructure anchors</x:v>
      </x:c>
      <x:c r="B4" s="79" t="str">
        <x:v>Canonical pricing, conversion sensitivity, and infrastructure anchors</x:v>
      </x:c>
      <x:c r="C4" s="79" t="str">
        <x:v>Canonical pricing, conversion sensitivity, and infrastructure anchors</x:v>
      </x:c>
      <x:c r="D4" s="79" t="str">
        <x:v>Canonical pricing, conversion sensitivity, and infrastructure anchors</x:v>
      </x:c>
    </x:row>
    <x:row r="5" ht="28" customHeight="1">
      <x:c r="A5" s="80" t="str">
        <x:v>Input</x:v>
      </x:c>
      <x:c r="B5" s="80" t="str">
        <x:v>Value</x:v>
      </x:c>
      <x:c r="C5" s="80" t="str">
        <x:v>Unit</x:v>
      </x:c>
      <x:c r="D5" s="80" t="str">
        <x:v>Authority / note</x:v>
      </x:c>
    </x:row>
    <x:row r="6">
      <x:c r="A6" s="39" t="str">
        <x:v>FX rate</x:v>
      </x:c>
      <x:c r="B6" s="40" t="n">
        <x:v>26300</x:v>
      </x:c>
      <x:c r="C6" s="39" t="str">
        <x:v>VND / USD</x:v>
      </x:c>
      <x:c r="D6" s="50" t="str">
        <x:v>Editable planning FX; update before each forecast cycle</x:v>
      </x:c>
    </x:row>
    <x:row r="7">
      <x:c r="A7" s="39" t="str">
        <x:v>Host Pro price</x:v>
      </x:c>
      <x:c r="B7" s="41" t="n">
        <x:v>250000</x:v>
      </x:c>
      <x:c r="C7" s="39" t="str">
        <x:v>VND / paid host / month</x:v>
      </x:c>
      <x:c r="D7" s="50" t="str">
        <x:v>DD-29 canonical price; Free = 0 VND</x:v>
      </x:c>
    </x:row>
    <x:row r="8">
      <x:c r="A8" s="39" t="str">
        <x:v>Low paid-host conversion</x:v>
      </x:c>
      <x:c r="B8" s="42" t="n">
        <x:v>0.1</x:v>
      </x:c>
      <x:c r="C8" s="39" t="str">
        <x:v>% of total hosts</x:v>
      </x:c>
      <x:c r="D8" s="50" t="str">
        <x:v>Sensitivity only; canonical docs do not forecast conversion</x:v>
      </x:c>
    </x:row>
    <x:row r="9">
      <x:c r="A9" s="39" t="str">
        <x:v>Base paid-host conversion</x:v>
      </x:c>
      <x:c r="B9" s="42" t="n">
        <x:v>0.3</x:v>
      </x:c>
      <x:c r="C9" s="39" t="str">
        <x:v>% of total hosts</x:v>
      </x:c>
      <x:c r="D9" s="50" t="str">
        <x:v>Planning case, not a committed forecast</x:v>
      </x:c>
    </x:row>
    <x:row r="10">
      <x:c r="A10" s="39" t="str">
        <x:v>High paid-host conversion</x:v>
      </x:c>
      <x:c r="B10" s="42" t="n">
        <x:v>0.5</x:v>
      </x:c>
      <x:c r="C10" s="39" t="str">
        <x:v>% of total hosts</x:v>
      </x:c>
      <x:c r="D10" s="50" t="str">
        <x:v>Sensitivity only</x:v>
      </x:c>
    </x:row>
    <x:row r="11">
      <x:c r="A11" s="39" t="str">
        <x:v>Variable provider/support COGS</x:v>
      </x:c>
      <x:c r="B11" s="43" t="n">
        <x:v>0</x:v>
      </x:c>
      <x:c r="C11" s="39" t="str">
        <x:v>USD / paid host / month</x:v>
      </x:c>
      <x:c r="D11" s="50" t="str">
        <x:v>Zero placeholder until DD-18/provider terms + telemetry; edit before investment use</x:v>
      </x:c>
    </x:row>
    <x:row r="12">
      <x:c r="A12" s="39" t="str">
        <x:v>Production infra baseline — low</x:v>
      </x:c>
      <x:c r="B12" s="43" t="n">
        <x:v>120</x:v>
      </x:c>
      <x:c r="C12" s="39" t="str">
        <x:v>USD / month</x:v>
      </x:c>
      <x:c r="D12" s="50" t="str">
        <x:v>DD-04 Final Rev 2 §5: Day-1 money-safe baseline</x:v>
      </x:c>
    </x:row>
    <x:row r="13">
      <x:c r="A13" s="39" t="str">
        <x:v>Production infra baseline — high</x:v>
      </x:c>
      <x:c r="B13" s="44" t="n">
        <x:v>135</x:v>
      </x:c>
      <x:c r="C13" s="39" t="str">
        <x:v>USD / month</x:v>
      </x:c>
      <x:c r="D13" s="50" t="str">
        <x:v>DD-04 Final Rev 2 §5</x:v>
      </x:c>
    </x:row>
    <x:row r="14">
      <x:c r="A14" s="39" t="str">
        <x:v>Production infra planning midpoint</x:v>
      </x:c>
      <x:c r="B14" s="45" t="n">
        <x:f>(B12+B13)/2</x:f>
        <x:v>127.5</x:v>
      </x:c>
      <x:c r="C14" s="39" t="str">
        <x:v>USD / month</x:v>
      </x:c>
      <x:c r="D14" s="50" t="str">
        <x:v>Formula midpoint; host count does not select a tier</x:v>
      </x:c>
    </x:row>
    <x:row r="15">
      <x:c r="A15" s="39" t="str">
        <x:v>Ephemeral staging — low</x:v>
      </x:c>
      <x:c r="B15" s="43" t="n">
        <x:v>8</x:v>
      </x:c>
      <x:c r="C15" s="39" t="str">
        <x:v>USD / active month</x:v>
      </x:c>
      <x:c r="D15" s="50" t="str">
        <x:v>DD-04 Final Rev 2 §5.4; optional/manual per scenario</x:v>
      </x:c>
    </x:row>
    <x:row r="16">
      <x:c r="A16" s="39" t="str">
        <x:v>Ephemeral staging — high</x:v>
      </x:c>
      <x:c r="B16" s="43" t="n">
        <x:v>18</x:v>
      </x:c>
      <x:c r="C16" s="39" t="str">
        <x:v>USD / active month</x:v>
      </x:c>
      <x:c r="D16" s="50" t="str">
        <x:v>DD-04 Final Rev 2 §5.4</x:v>
      </x:c>
    </x:row>
    <x:row r="17" ht="34" customHeight="1">
      <x:c r="A17" s="95" t="str">
        <x:v>MODEL STATUS</x:v>
      </x:c>
      <x:c r="B17" s="96" t="str">
        <x:f>IF(B11&gt;0,"READY","REVIEW")</x:f>
        <x:v>REVIEW</x:v>
      </x:c>
      <x:c r="C17" s="96" t="str">
        <x:v>Decision use</x:v>
      </x:c>
      <x:c r="D17" s="97" t="str">
        <x:f>IF(B11&gt;0,"Revenue + contribution sensitivity","Revenue sensitivity only; contribution is blocked until COGS is sourced")</x:f>
        <x:v>Revenue sensitivity only; contribution is blocked until COGS is sourced</x:v>
      </x:c>
    </x:row>
    <x:row r="18" ht="58" customHeight="1">
      <x:c r="A18" s="46" t="str">
        <x:v>Model boundary: trigger add-ons and staging are scenario inputs. No formula infers infrastructure size from host count; scaling requires measured RPS, p95/p99, DB CPU/I/O/connections, queue lag, and memory pressure.</x:v>
      </x:c>
      <x:c r="B18" s="47" t="str">
        <x:v>Model boundary: trigger add-ons and staging are scenario inputs. No formula infers infrastructure size from host count; scaling requires measured RPS, p95/p99, DB CPU/I/O/connections, queue lag, and memory pressure.</x:v>
      </x:c>
      <x:c r="C18" s="47" t="str">
        <x:v>Model boundary: trigger add-ons and staging are scenario inputs. No formula infers infrastructure size from host count; scaling requires measured RPS, p95/p99, DB CPU/I/O/connections, queue lag, and memory pressure.</x:v>
      </x:c>
      <x:c r="D18" s="48" t="str">
        <x:v>Model boundary: trigger add-ons and staging are scenario inputs. No formula infers infrastructure size from host count; scaling requires measured RPS, p95/p99, DB CPU/I/O/connections, queue lag, and memory pressure.</x:v>
      </x:c>
    </x:row>
  </x:sheetData>
  <x:mergeCells>
    <x:mergeCell ref="A1:D1"/>
    <x:mergeCell ref="A2:D2"/>
    <x:mergeCell ref="A4:D4"/>
    <x:mergeCell ref="A18:D18"/>
  </x:mergeCells>
  <x:conditionalFormatting sqref="B17:B17">
    <x:cfRule type="containsText" dxfId="15" priority="1" operator="containsText" text="READY"/>
    <x:cfRule type="containsText" dxfId="16" priority="2" operator="containsText" text="REVIEW"/>
  </x:conditionalFormatting>
  <x:dataValidations count="4">
    <x:dataValidation type="decimal" operator="between" sqref="B8:B10">
      <x:formula1>0</x:formula1>
      <x:formula2>1</x:formula2>
    </x:dataValidation>
    <x:dataValidation type="whole" operator="greaterThan" sqref="B6:B7">
      <x:formula1>0</x:formula1>
    </x:dataValidation>
    <x:dataValidation type="decimal" operator="greaterThanOrEqual" sqref="B11:B13">
      <x:formula1>0</x:formula1>
    </x:dataValidation>
    <x:dataValidation type="decimal" operator="greaterThanOrEqual" sqref="B15:B16">
      <x:formula1>0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34" customHeight="1">
      <x:c r="A1" s="49" t="str">
        <x:v>PLEXCO — MONTHLY P&amp;L SENSITIVITY</x:v>
      </x:c>
      <x:c r="B1" s="49" t="str">
        <x:v>PLEXCO — MONTHLY P&amp;L SENSITIVITY</x:v>
      </x:c>
      <x:c r="C1" s="49" t="str">
        <x:v>PLEXCO — MONTHLY P&amp;L SENSITIVITY</x:v>
      </x:c>
      <x:c r="D1" s="49" t="str">
        <x:v>PLEXCO — MONTHLY P&amp;L SENSITIVITY</x:v>
      </x:c>
      <x:c r="E1" s="49" t="str">
        <x:v>PLEXCO — MONTHLY P&amp;L SENSITIVITY</x:v>
      </x:c>
      <x:c r="F1" s="49" t="str">
        <x:v>PLEXCO — MONTHLY P&amp;L SENSITIVITY</x:v>
      </x:c>
      <x:c r="G1" s="49" t="str">
        <x:v>PLEXCO — MONTHLY P&amp;L SENSITIVITY</x:v>
      </x:c>
    </x:row>
    <x:row r="2" ht="32" customHeight="1">
      <x:c r="A2" s="35" t="str">
        <x:v>Base conversion = 30%. Infrastructure baseline is constant until telemetry triggers a manually entered add-on.</x:v>
      </x:c>
      <x:c r="B2" s="35" t="str">
        <x:v>Base conversion = 30%. Infrastructure baseline is constant until telemetry triggers a manually entered add-on.</x:v>
      </x:c>
      <x:c r="C2" s="35" t="str">
        <x:v>Base conversion = 30%. Infrastructure baseline is constant until telemetry triggers a manually entered add-on.</x:v>
      </x:c>
      <x:c r="D2" s="35" t="str">
        <x:v>Base conversion = 30%. Infrastructure baseline is constant until telemetry triggers a manually entered add-on.</x:v>
      </x:c>
      <x:c r="E2" s="35" t="str">
        <x:v>Base conversion = 30%. Infrastructure baseline is constant until telemetry triggers a manually entered add-on.</x:v>
      </x:c>
      <x:c r="F2" s="35" t="str">
        <x:v>Base conversion = 30%. Infrastructure baseline is constant until telemetry triggers a manually entered add-on.</x:v>
      </x:c>
      <x:c r="G2" s="35" t="str">
        <x:v>Base conversion = 30%. Infrastructure baseline is constant until telemetry triggers a manually entered add-on.</x:v>
      </x:c>
    </x:row>
    <x:row r="3">
      <x:c r="A3" s="36"/>
      <x:c r="B3" s="36"/>
      <x:c r="C3" s="36"/>
      <x:c r="D3" s="36"/>
      <x:c r="E3" s="36"/>
      <x:c r="F3" s="36"/>
      <x:c r="G3" s="36"/>
    </x:row>
    <x:row r="4" ht="24" customHeight="1">
      <x:c r="A4" s="79" t="str">
        <x:v>Base planning case</x:v>
      </x:c>
      <x:c r="B4" s="79" t="str">
        <x:v>Base planning case</x:v>
      </x:c>
      <x:c r="C4" s="79" t="str">
        <x:v>Base planning case</x:v>
      </x:c>
      <x:c r="D4" s="79" t="str">
        <x:v>Base planning case</x:v>
      </x:c>
      <x:c r="E4" s="79" t="str">
        <x:v>Base planning case</x:v>
      </x:c>
      <x:c r="F4" s="36"/>
      <x:c r="G4" s="36"/>
    </x:row>
    <x:row r="5" ht="28" customHeight="1">
      <x:c r="A5" s="80" t="str">
        <x:v>Metric</x:v>
      </x:c>
      <x:c r="B5" s="80" t="str">
        <x:v>100 hosts</x:v>
      </x:c>
      <x:c r="C5" s="80" t="str">
        <x:v>1,000 hosts</x:v>
      </x:c>
      <x:c r="D5" s="80" t="str">
        <x:v>2,000 hosts</x:v>
      </x:c>
      <x:c r="E5" s="80" t="str">
        <x:v>5,000 hosts</x:v>
      </x:c>
      <x:c r="F5" s="36"/>
      <x:c r="G5" s="36"/>
    </x:row>
    <x:row r="6">
      <x:c r="A6" s="39" t="str">
        <x:v>Total hosts</x:v>
      </x:c>
      <x:c r="B6" s="64" t="n">
        <x:v>100</x:v>
      </x:c>
      <x:c r="C6" s="64" t="n">
        <x:v>1000</x:v>
      </x:c>
      <x:c r="D6" s="64" t="n">
        <x:v>2000</x:v>
      </x:c>
      <x:c r="E6" s="64" t="n">
        <x:v>5000</x:v>
      </x:c>
      <x:c r="F6" s="36"/>
      <x:c r="G6" s="36"/>
    </x:row>
    <x:row r="7">
      <x:c r="A7" s="39" t="str">
        <x:v>Paid hosts — base conversion</x:v>
      </x:c>
      <x:c r="B7" s="64" t="n">
        <x:f>B6*'Assumptions'!$B$9</x:f>
        <x:v>30</x:v>
      </x:c>
      <x:c r="C7" s="64" t="n">
        <x:f>C6*'Assumptions'!$B$9</x:f>
        <x:v>300</x:v>
      </x:c>
      <x:c r="D7" s="64" t="n">
        <x:f>D6*'Assumptions'!$B$9</x:f>
        <x:v>600</x:v>
      </x:c>
      <x:c r="E7" s="64" t="n">
        <x:f>E6*'Assumptions'!$B$9</x:f>
        <x:v>1500</x:v>
      </x:c>
      <x:c r="F7" s="36"/>
      <x:c r="G7" s="36"/>
    </x:row>
    <x:row r="8">
      <x:c r="A8" s="39" t="str">
        <x:v>Monthly revenue</x:v>
      </x:c>
      <x:c r="B8" s="65" t="n">
        <x:f>B7*'Assumptions'!$B$7</x:f>
        <x:v>7500000</x:v>
      </x:c>
      <x:c r="C8" s="65" t="n">
        <x:f>C7*'Assumptions'!$B$7</x:f>
        <x:v>75000000</x:v>
      </x:c>
      <x:c r="D8" s="65" t="n">
        <x:f>D7*'Assumptions'!$B$7</x:f>
        <x:v>150000000</x:v>
      </x:c>
      <x:c r="E8" s="65" t="n">
        <x:f>E7*'Assumptions'!$B$7</x:f>
        <x:v>375000000</x:v>
      </x:c>
      <x:c r="F8" s="36"/>
      <x:c r="G8" s="36"/>
    </x:row>
    <x:row r="9">
      <x:c r="A9" s="39" t="str">
        <x:v>Monthly revenue</x:v>
      </x:c>
      <x:c r="B9" s="44" t="n">
        <x:f>B8/'Assumptions'!$B$6</x:f>
        <x:v>285.17110266159693</x:v>
      </x:c>
      <x:c r="C9" s="44" t="n">
        <x:f>C8/'Assumptions'!$B$6</x:f>
        <x:v>2851.71102661597</x:v>
      </x:c>
      <x:c r="D9" s="44" t="n">
        <x:f>D8/'Assumptions'!$B$6</x:f>
        <x:v>5703.42205323194</x:v>
      </x:c>
      <x:c r="E9" s="44" t="n">
        <x:f>E8/'Assumptions'!$B$6</x:f>
        <x:v>14258.555133079848</x:v>
      </x:c>
      <x:c r="F9" s="36"/>
      <x:c r="G9" s="36"/>
    </x:row>
    <x:row r="10">
      <x:c r="A10" s="39" t="str">
        <x:v>Variable provider/support COGS</x:v>
      </x:c>
      <x:c r="B10" s="44" t="n">
        <x:f>B7*'Assumptions'!$B$11</x:f>
        <x:v>0</x:v>
      </x:c>
      <x:c r="C10" s="44" t="n">
        <x:f>C7*'Assumptions'!$B$11</x:f>
        <x:v>0</x:v>
      </x:c>
      <x:c r="D10" s="44" t="n">
        <x:f>D7*'Assumptions'!$B$11</x:f>
        <x:v>0</x:v>
      </x:c>
      <x:c r="E10" s="44" t="n">
        <x:f>E7*'Assumptions'!$B$11</x:f>
        <x:v>0</x:v>
      </x:c>
      <x:c r="F10" s="36"/>
      <x:c r="G10" s="36"/>
    </x:row>
    <x:row r="11">
      <x:c r="A11" s="39" t="str">
        <x:v>Production infrastructure baseline</x:v>
      </x:c>
      <x:c r="B11" s="44" t="n">
        <x:f>'Assumptions'!$B$14</x:f>
        <x:v>127.5</x:v>
      </x:c>
      <x:c r="C11" s="44" t="n">
        <x:f>'Assumptions'!$B$14</x:f>
        <x:v>127.5</x:v>
      </x:c>
      <x:c r="D11" s="44" t="n">
        <x:f>'Assumptions'!$B$14</x:f>
        <x:v>127.5</x:v>
      </x:c>
      <x:c r="E11" s="44" t="n">
        <x:f>'Assumptions'!$B$14</x:f>
        <x:v>127.5</x:v>
      </x:c>
      <x:c r="F11" s="36"/>
      <x:c r="G11" s="36"/>
    </x:row>
    <x:row r="12">
      <x:c r="A12" s="39" t="str">
        <x:v>Trigger-based infra add-ons — EDIT</x:v>
      </x:c>
      <x:c r="B12" s="66" t="n">
        <x:v>0</x:v>
      </x:c>
      <x:c r="C12" s="66" t="n">
        <x:v>0</x:v>
      </x:c>
      <x:c r="D12" s="66" t="n">
        <x:v>0</x:v>
      </x:c>
      <x:c r="E12" s="66" t="n">
        <x:v>0</x:v>
      </x:c>
      <x:c r="F12" s="36"/>
      <x:c r="G12" s="36"/>
    </x:row>
    <x:row r="13">
      <x:c r="A13" s="39" t="str">
        <x:v>Ephemeral staging allowance — EDIT</x:v>
      </x:c>
      <x:c r="B13" s="66" t="n">
        <x:v>0</x:v>
      </x:c>
      <x:c r="C13" s="66" t="n">
        <x:v>0</x:v>
      </x:c>
      <x:c r="D13" s="66" t="n">
        <x:v>0</x:v>
      </x:c>
      <x:c r="E13" s="66" t="n">
        <x:v>0</x:v>
      </x:c>
      <x:c r="F13" s="36"/>
      <x:c r="G13" s="36"/>
    </x:row>
    <x:row r="14">
      <x:c r="A14" s="67" t="str">
        <x:v>Total modeled monthly cost</x:v>
      </x:c>
      <x:c r="B14" s="68" t="n">
        <x:f>SUM(B10:B13)</x:f>
        <x:v>127.5</x:v>
      </x:c>
      <x:c r="C14" s="68" t="n">
        <x:f>SUM(C10:C13)</x:f>
        <x:v>127.5</x:v>
      </x:c>
      <x:c r="D14" s="68" t="n">
        <x:f>SUM(D10:D13)</x:f>
        <x:v>127.5</x:v>
      </x:c>
      <x:c r="E14" s="68" t="n">
        <x:f>SUM(E10:E13)</x:f>
        <x:v>127.5</x:v>
      </x:c>
      <x:c r="F14" s="36"/>
      <x:c r="G14" s="36"/>
    </x:row>
    <x:row r="15">
      <x:c r="A15" s="69" t="str">
        <x:v>Planning contribution — COGS-gated</x:v>
      </x:c>
      <x:c r="B15" s="98" t="str">
        <x:f>IF('Assumptions'!$B$11&lt;=0,"REVIEW",B9-B14)</x:f>
        <x:v>REVIEW</x:v>
      </x:c>
      <x:c r="C15" s="98" t="str">
        <x:f>IF('Assumptions'!$B$11&lt;=0,"REVIEW",C9-C14)</x:f>
        <x:v>REVIEW</x:v>
      </x:c>
      <x:c r="D15" s="98" t="str">
        <x:f>IF('Assumptions'!$B$11&lt;=0,"REVIEW",D9-D14)</x:f>
        <x:v>REVIEW</x:v>
      </x:c>
      <x:c r="E15" s="98" t="str">
        <x:f>IF('Assumptions'!$B$11&lt;=0,"REVIEW",E9-E14)</x:f>
        <x:v>REVIEW</x:v>
      </x:c>
      <x:c r="F15" s="36"/>
      <x:c r="G15" s="36"/>
    </x:row>
    <x:row r="16">
      <x:c r="A16" s="69" t="str">
        <x:v>Contribution margin — COGS-gated</x:v>
      </x:c>
      <x:c r="B16" s="99" t="str">
        <x:f>IF(OR('Assumptions'!$B$11&lt;=0,B9=0),"REVIEW",B15/B9)</x:f>
        <x:v>REVIEW</x:v>
      </x:c>
      <x:c r="C16" s="99" t="str">
        <x:f>IF(OR('Assumptions'!$B$11&lt;=0,C9=0),"REVIEW",C15/C9)</x:f>
        <x:v>REVIEW</x:v>
      </x:c>
      <x:c r="D16" s="99" t="str">
        <x:f>IF(OR('Assumptions'!$B$11&lt;=0,D9=0),"REVIEW",D15/D9)</x:f>
        <x:v>REVIEW</x:v>
      </x:c>
      <x:c r="E16" s="99" t="str">
        <x:f>IF(OR('Assumptions'!$B$11&lt;=0,E9=0),"REVIEW",E15/E9)</x:f>
        <x:v>REVIEW</x:v>
      </x:c>
      <x:c r="F16" s="36"/>
      <x:c r="G16" s="36"/>
    </x:row>
    <x:row r="17">
      <x:c r="A17" s="39" t="str">
        <x:v>Annual revenue</x:v>
      </x:c>
      <x:c r="B17" s="71" t="n">
        <x:f>B9*12</x:f>
        <x:v>3422.053231939163</x:v>
      </x:c>
      <x:c r="C17" s="71" t="n">
        <x:f>C9*12</x:f>
        <x:v>34220.53231939164</x:v>
      </x:c>
      <x:c r="D17" s="71" t="n">
        <x:f>D9*12</x:f>
        <x:v>68441.06463878328</x:v>
      </x:c>
      <x:c r="E17" s="71" t="n">
        <x:f>E9*12</x:f>
        <x:v>171102.66159695818</x:v>
      </x:c>
      <x:c r="F17" s="36"/>
      <x:c r="G17" s="36"/>
    </x:row>
    <x:row r="18">
      <x:c r="A18" s="39" t="str">
        <x:v>Annual modeled cost</x:v>
      </x:c>
      <x:c r="B18" s="71" t="n">
        <x:f>B14*12</x:f>
        <x:v>1530</x:v>
      </x:c>
      <x:c r="C18" s="71" t="n">
        <x:f>C14*12</x:f>
        <x:v>1530</x:v>
      </x:c>
      <x:c r="D18" s="71" t="n">
        <x:f>D14*12</x:f>
        <x:v>1530</x:v>
      </x:c>
      <x:c r="E18" s="71" t="n">
        <x:f>E14*12</x:f>
        <x:v>1530</x:v>
      </x:c>
      <x:c r="F18" s="36"/>
      <x:c r="G18" s="36"/>
    </x:row>
    <x:row r="19">
      <x:c r="A19" s="81" t="str">
        <x:v>Annual planning contribution — COGS-gated</x:v>
      </x:c>
      <x:c r="B19" s="100" t="str">
        <x:f>IF('Assumptions'!$B$11&lt;=0,"REVIEW",B17-B18)</x:f>
        <x:v>REVIEW</x:v>
      </x:c>
      <x:c r="C19" s="100" t="str">
        <x:f>IF('Assumptions'!$B$11&lt;=0,"REVIEW",C17-C18)</x:f>
        <x:v>REVIEW</x:v>
      </x:c>
      <x:c r="D19" s="100" t="str">
        <x:f>IF('Assumptions'!$B$11&lt;=0,"REVIEW",D17-D18)</x:f>
        <x:v>REVIEW</x:v>
      </x:c>
      <x:c r="E19" s="100" t="str">
        <x:f>IF('Assumptions'!$B$11&lt;=0,"REVIEW",E17-E18)</x:f>
        <x:v>REVIEW</x:v>
      </x:c>
      <x:c r="F19" s="36"/>
      <x:c r="G19" s="36"/>
    </x:row>
    <x:row r="20">
      <x:c r="A20" s="36"/>
      <x:c r="B20" s="36"/>
      <x:c r="C20" s="36"/>
      <x:c r="D20" s="36"/>
      <x:c r="E20" s="36"/>
      <x:c r="F20" s="36"/>
      <x:c r="G20" s="36"/>
    </x:row>
    <x:row r="21">
      <x:c r="A21" s="36"/>
      <x:c r="B21" s="36"/>
      <x:c r="C21" s="36"/>
      <x:c r="D21" s="36"/>
      <x:c r="E21" s="36"/>
      <x:c r="F21" s="36"/>
      <x:c r="G21" s="36"/>
    </x:row>
    <x:row r="22" ht="24" customHeight="1">
      <x:c r="A22" s="79" t="str">
        <x:v>Conversion sensitivity — revenue and contribution (contribution is COGS-gated)</x:v>
      </x:c>
      <x:c r="B22" s="79"/>
      <x:c r="C22" s="79"/>
      <x:c r="D22" s="79"/>
      <x:c r="E22" s="79"/>
      <x:c r="F22" s="79"/>
      <x:c r="G22" s="79"/>
    </x:row>
    <x:row r="23" ht="28" customHeight="1">
      <x:c r="A23" s="80" t="str">
        <x:v>Total hosts</x:v>
      </x:c>
      <x:c r="B23" s="80" t="str">
        <x:v>Conversion</x:v>
      </x:c>
      <x:c r="C23" s="80" t="str">
        <x:v>Paid hosts</x:v>
      </x:c>
      <x:c r="D23" s="80" t="str">
        <x:v>Revenue / month</x:v>
      </x:c>
      <x:c r="E23" s="80" t="str">
        <x:v>Modeled cost / month</x:v>
      </x:c>
      <x:c r="F23" s="80" t="str">
        <x:v>Contribution / month</x:v>
      </x:c>
      <x:c r="G23" s="80" t="str">
        <x:v>Margin</x:v>
      </x:c>
    </x:row>
    <x:row r="24">
      <x:c r="A24" s="64" t="n">
        <x:v>100</x:v>
      </x:c>
      <x:c r="B24" s="74" t="n">
        <x:v>0.1</x:v>
      </x:c>
      <x:c r="C24" s="64" t="n">
        <x:f>A24*B24</x:f>
        <x:v>10</x:v>
      </x:c>
      <x:c r="D24" s="44" t="n">
        <x:f>C24*'Assumptions'!$B$7/'Assumptions'!$B$6</x:f>
        <x:v>95.05703422053232</x:v>
      </x:c>
      <x:c r="E24" s="44" t="n">
        <x:f>C24*'Assumptions'!$B$11+'Assumptions'!$B$14+$B$12+$B$13</x:f>
        <x:v>127.5</x:v>
      </x:c>
      <x:c r="F24" s="98" t="str">
        <x:f>IF('Assumptions'!$B$11&lt;=0,"REVIEW",D24-E24)</x:f>
        <x:v>REVIEW</x:v>
      </x:c>
      <x:c r="G24" s="99" t="str">
        <x:f>IF(OR('Assumptions'!$B$11&lt;=0,D24=0),"REVIEW",F24/D24)</x:f>
        <x:v>REVIEW</x:v>
      </x:c>
    </x:row>
    <x:row r="25">
      <x:c r="A25" s="64" t="n">
        <x:v>100</x:v>
      </x:c>
      <x:c r="B25" s="74" t="n">
        <x:v>0.3</x:v>
      </x:c>
      <x:c r="C25" s="64" t="n">
        <x:f>A25*B25</x:f>
        <x:v>30</x:v>
      </x:c>
      <x:c r="D25" s="44" t="n">
        <x:f>C25*'Assumptions'!$B$7/'Assumptions'!$B$6</x:f>
        <x:v>285.17110266159693</x:v>
      </x:c>
      <x:c r="E25" s="44" t="n">
        <x:f>C25*'Assumptions'!$B$11+'Assumptions'!$B$14+$B$12+$B$13</x:f>
        <x:v>127.5</x:v>
      </x:c>
      <x:c r="F25" s="98" t="str">
        <x:f>IF('Assumptions'!$B$11&lt;=0,"REVIEW",D25-E25)</x:f>
        <x:v>REVIEW</x:v>
      </x:c>
      <x:c r="G25" s="99" t="str">
        <x:f>IF(OR('Assumptions'!$B$11&lt;=0,D25=0),"REVIEW",F25/D25)</x:f>
        <x:v>REVIEW</x:v>
      </x:c>
    </x:row>
    <x:row r="26">
      <x:c r="A26" s="64" t="n">
        <x:v>100</x:v>
      </x:c>
      <x:c r="B26" s="74" t="n">
        <x:v>0.5</x:v>
      </x:c>
      <x:c r="C26" s="64" t="n">
        <x:f>A26*B26</x:f>
        <x:v>50</x:v>
      </x:c>
      <x:c r="D26" s="44" t="n">
        <x:f>C26*'Assumptions'!$B$7/'Assumptions'!$B$6</x:f>
        <x:v>475.2851711026616</x:v>
      </x:c>
      <x:c r="E26" s="44" t="n">
        <x:f>C26*'Assumptions'!$B$11+'Assumptions'!$B$14+$B$12+$B$13</x:f>
        <x:v>127.5</x:v>
      </x:c>
      <x:c r="F26" s="98" t="str">
        <x:f>IF('Assumptions'!$B$11&lt;=0,"REVIEW",D26-E26)</x:f>
        <x:v>REVIEW</x:v>
      </x:c>
      <x:c r="G26" s="99" t="str">
        <x:f>IF(OR('Assumptions'!$B$11&lt;=0,D26=0),"REVIEW",F26/D26)</x:f>
        <x:v>REVIEW</x:v>
      </x:c>
    </x:row>
    <x:row r="27">
      <x:c r="A27" s="64" t="n">
        <x:v>1000</x:v>
      </x:c>
      <x:c r="B27" s="74" t="n">
        <x:v>0.1</x:v>
      </x:c>
      <x:c r="C27" s="64" t="n">
        <x:f>A27*B27</x:f>
        <x:v>100</x:v>
      </x:c>
      <x:c r="D27" s="44" t="n">
        <x:f>C27*'Assumptions'!$B$7/'Assumptions'!$B$6</x:f>
        <x:v>950.5703422053232</x:v>
      </x:c>
      <x:c r="E27" s="44" t="n">
        <x:f>C27*'Assumptions'!$B$11+'Assumptions'!$B$14+$C$12+$C$13</x:f>
        <x:v>127.5</x:v>
      </x:c>
      <x:c r="F27" s="98" t="str">
        <x:f>IF('Assumptions'!$B$11&lt;=0,"REVIEW",D27-E27)</x:f>
        <x:v>REVIEW</x:v>
      </x:c>
      <x:c r="G27" s="99" t="str">
        <x:f>IF(OR('Assumptions'!$B$11&lt;=0,D27=0),"REVIEW",F27/D27)</x:f>
        <x:v>REVIEW</x:v>
      </x:c>
    </x:row>
    <x:row r="28">
      <x:c r="A28" s="64" t="n">
        <x:v>1000</x:v>
      </x:c>
      <x:c r="B28" s="74" t="n">
        <x:v>0.3</x:v>
      </x:c>
      <x:c r="C28" s="64" t="n">
        <x:f>A28*B28</x:f>
        <x:v>300</x:v>
      </x:c>
      <x:c r="D28" s="44" t="n">
        <x:f>C28*'Assumptions'!$B$7/'Assumptions'!$B$6</x:f>
        <x:v>2851.71102661597</x:v>
      </x:c>
      <x:c r="E28" s="44" t="n">
        <x:f>C28*'Assumptions'!$B$11+'Assumptions'!$B$14+$C$12+$C$13</x:f>
        <x:v>127.5</x:v>
      </x:c>
      <x:c r="F28" s="98" t="str">
        <x:f>IF('Assumptions'!$B$11&lt;=0,"REVIEW",D28-E28)</x:f>
        <x:v>REVIEW</x:v>
      </x:c>
      <x:c r="G28" s="99" t="str">
        <x:f>IF(OR('Assumptions'!$B$11&lt;=0,D28=0),"REVIEW",F28/D28)</x:f>
        <x:v>REVIEW</x:v>
      </x:c>
    </x:row>
    <x:row r="29">
      <x:c r="A29" s="64" t="n">
        <x:v>1000</x:v>
      </x:c>
      <x:c r="B29" s="74" t="n">
        <x:v>0.5</x:v>
      </x:c>
      <x:c r="C29" s="64" t="n">
        <x:f>A29*B29</x:f>
        <x:v>500</x:v>
      </x:c>
      <x:c r="D29" s="44" t="n">
        <x:f>C29*'Assumptions'!$B$7/'Assumptions'!$B$6</x:f>
        <x:v>4752.851711026616</x:v>
      </x:c>
      <x:c r="E29" s="44" t="n">
        <x:f>C29*'Assumptions'!$B$11+'Assumptions'!$B$14+$C$12+$C$13</x:f>
        <x:v>127.5</x:v>
      </x:c>
      <x:c r="F29" s="98" t="str">
        <x:f>IF('Assumptions'!$B$11&lt;=0,"REVIEW",D29-E29)</x:f>
        <x:v>REVIEW</x:v>
      </x:c>
      <x:c r="G29" s="99" t="str">
        <x:f>IF(OR('Assumptions'!$B$11&lt;=0,D29=0),"REVIEW",F29/D29)</x:f>
        <x:v>REVIEW</x:v>
      </x:c>
    </x:row>
    <x:row r="30">
      <x:c r="A30" s="64" t="n">
        <x:v>2000</x:v>
      </x:c>
      <x:c r="B30" s="74" t="n">
        <x:v>0.1</x:v>
      </x:c>
      <x:c r="C30" s="64" t="n">
        <x:f>A30*B30</x:f>
        <x:v>200</x:v>
      </x:c>
      <x:c r="D30" s="44" t="n">
        <x:f>C30*'Assumptions'!$B$7/'Assumptions'!$B$6</x:f>
        <x:v>1901.1406844106464</x:v>
      </x:c>
      <x:c r="E30" s="44" t="n">
        <x:f>C30*'Assumptions'!$B$11+'Assumptions'!$B$14+$D$12+$D$13</x:f>
        <x:v>127.5</x:v>
      </x:c>
      <x:c r="F30" s="98" t="str">
        <x:f>IF('Assumptions'!$B$11&lt;=0,"REVIEW",D30-E30)</x:f>
        <x:v>REVIEW</x:v>
      </x:c>
      <x:c r="G30" s="99" t="str">
        <x:f>IF(OR('Assumptions'!$B$11&lt;=0,D30=0),"REVIEW",F30/D30)</x:f>
        <x:v>REVIEW</x:v>
      </x:c>
    </x:row>
    <x:row r="31">
      <x:c r="A31" s="64" t="n">
        <x:v>2000</x:v>
      </x:c>
      <x:c r="B31" s="74" t="n">
        <x:v>0.3</x:v>
      </x:c>
      <x:c r="C31" s="64" t="n">
        <x:f>A31*B31</x:f>
        <x:v>600</x:v>
      </x:c>
      <x:c r="D31" s="44" t="n">
        <x:f>C31*'Assumptions'!$B$7/'Assumptions'!$B$6</x:f>
        <x:v>5703.42205323194</x:v>
      </x:c>
      <x:c r="E31" s="44" t="n">
        <x:f>C31*'Assumptions'!$B$11+'Assumptions'!$B$14+$D$12+$D$13</x:f>
        <x:v>127.5</x:v>
      </x:c>
      <x:c r="F31" s="98" t="str">
        <x:f>IF('Assumptions'!$B$11&lt;=0,"REVIEW",D31-E31)</x:f>
        <x:v>REVIEW</x:v>
      </x:c>
      <x:c r="G31" s="99" t="str">
        <x:f>IF(OR('Assumptions'!$B$11&lt;=0,D31=0),"REVIEW",F31/D31)</x:f>
        <x:v>REVIEW</x:v>
      </x:c>
    </x:row>
    <x:row r="32">
      <x:c r="A32" s="64" t="n">
        <x:v>2000</x:v>
      </x:c>
      <x:c r="B32" s="74" t="n">
        <x:v>0.5</x:v>
      </x:c>
      <x:c r="C32" s="64" t="n">
        <x:f>A32*B32</x:f>
        <x:v>1000</x:v>
      </x:c>
      <x:c r="D32" s="44" t="n">
        <x:f>C32*'Assumptions'!$B$7/'Assumptions'!$B$6</x:f>
        <x:v>9505.703422053231</x:v>
      </x:c>
      <x:c r="E32" s="44" t="n">
        <x:f>C32*'Assumptions'!$B$11+'Assumptions'!$B$14+$D$12+$D$13</x:f>
        <x:v>127.5</x:v>
      </x:c>
      <x:c r="F32" s="98" t="str">
        <x:f>IF('Assumptions'!$B$11&lt;=0,"REVIEW",D32-E32)</x:f>
        <x:v>REVIEW</x:v>
      </x:c>
      <x:c r="G32" s="99" t="str">
        <x:f>IF(OR('Assumptions'!$B$11&lt;=0,D32=0),"REVIEW",F32/D32)</x:f>
        <x:v>REVIEW</x:v>
      </x:c>
    </x:row>
    <x:row r="33">
      <x:c r="A33" s="64" t="n">
        <x:v>5000</x:v>
      </x:c>
      <x:c r="B33" s="74" t="n">
        <x:v>0.1</x:v>
      </x:c>
      <x:c r="C33" s="64" t="n">
        <x:f>A33*B33</x:f>
        <x:v>500</x:v>
      </x:c>
      <x:c r="D33" s="44" t="n">
        <x:f>C33*'Assumptions'!$B$7/'Assumptions'!$B$6</x:f>
        <x:v>4752.851711026616</x:v>
      </x:c>
      <x:c r="E33" s="44" t="n">
        <x:f>C33*'Assumptions'!$B$11+'Assumptions'!$B$14+$E$12+$E$13</x:f>
        <x:v>127.5</x:v>
      </x:c>
      <x:c r="F33" s="98" t="str">
        <x:f>IF('Assumptions'!$B$11&lt;=0,"REVIEW",D33-E33)</x:f>
        <x:v>REVIEW</x:v>
      </x:c>
      <x:c r="G33" s="99" t="str">
        <x:f>IF(OR('Assumptions'!$B$11&lt;=0,D33=0),"REVIEW",F33/D33)</x:f>
        <x:v>REVIEW</x:v>
      </x:c>
    </x:row>
    <x:row r="34">
      <x:c r="A34" s="64" t="n">
        <x:v>5000</x:v>
      </x:c>
      <x:c r="B34" s="74" t="n">
        <x:v>0.3</x:v>
      </x:c>
      <x:c r="C34" s="64" t="n">
        <x:f>A34*B34</x:f>
        <x:v>1500</x:v>
      </x:c>
      <x:c r="D34" s="44" t="n">
        <x:f>C34*'Assumptions'!$B$7/'Assumptions'!$B$6</x:f>
        <x:v>14258.555133079848</x:v>
      </x:c>
      <x:c r="E34" s="44" t="n">
        <x:f>C34*'Assumptions'!$B$11+'Assumptions'!$B$14+$E$12+$E$13</x:f>
        <x:v>127.5</x:v>
      </x:c>
      <x:c r="F34" s="98" t="str">
        <x:f>IF('Assumptions'!$B$11&lt;=0,"REVIEW",D34-E34)</x:f>
        <x:v>REVIEW</x:v>
      </x:c>
      <x:c r="G34" s="99" t="str">
        <x:f>IF(OR('Assumptions'!$B$11&lt;=0,D34=0),"REVIEW",F34/D34)</x:f>
        <x:v>REVIEW</x:v>
      </x:c>
    </x:row>
    <x:row r="35">
      <x:c r="A35" s="64" t="n">
        <x:v>5000</x:v>
      </x:c>
      <x:c r="B35" s="74" t="n">
        <x:v>0.5</x:v>
      </x:c>
      <x:c r="C35" s="64" t="n">
        <x:f>A35*B35</x:f>
        <x:v>2500</x:v>
      </x:c>
      <x:c r="D35" s="44" t="n">
        <x:f>C35*'Assumptions'!$B$7/'Assumptions'!$B$6</x:f>
        <x:v>23764.25855513308</x:v>
      </x:c>
      <x:c r="E35" s="44" t="n">
        <x:f>C35*'Assumptions'!$B$11+'Assumptions'!$B$14+$E$12+$E$13</x:f>
        <x:v>127.5</x:v>
      </x:c>
      <x:c r="F35" s="98" t="str">
        <x:f>IF('Assumptions'!$B$11&lt;=0,"REVIEW",D35-E35)</x:f>
        <x:v>REVIEW</x:v>
      </x:c>
      <x:c r="G35" s="99" t="str">
        <x:f>IF(OR('Assumptions'!$B$11&lt;=0,D35=0),"REVIEW",F35/D35)</x:f>
        <x:v>REVIEW</x:v>
      </x:c>
    </x:row>
    <x:row r="36">
      <x:c r="A36" s="36"/>
      <x:c r="B36" s="36"/>
      <x:c r="C36" s="36"/>
      <x:c r="D36" s="36"/>
      <x:c r="E36" s="36"/>
      <x:c r="F36" s="36"/>
      <x:c r="G36" s="36"/>
    </x:row>
    <x:row r="37" ht="58" customHeight="1">
      <x:c r="A37" s="46" t="str">
        <x:v>Interpretation: revenue sensitivity is usable now. Contribution and margin stay REVIEW until variable provider/support COGS is sourced and entered. Even after that, this remains contribution before salaries, tax, payment fees not yet contracted, support labor not captured in the input, acquisition, and one-off compliance/security work.</x:v>
      </x:c>
      <x:c r="B37" s="47"/>
      <x:c r="C37" s="47"/>
      <x:c r="D37" s="47"/>
      <x:c r="E37" s="47"/>
      <x:c r="F37" s="47"/>
      <x:c r="G37" s="48"/>
    </x:row>
  </x:sheetData>
  <x:mergeCells>
    <x:mergeCell ref="A1:G1"/>
    <x:mergeCell ref="A2:G2"/>
    <x:mergeCell ref="A4:E4"/>
    <x:mergeCell ref="A22:G22"/>
    <x:mergeCell ref="A37:G37"/>
  </x:mergeCells>
  <x:conditionalFormatting sqref="F24:F35">
    <x:cfRule type="cellIs" dxfId="0" priority="1" operator="lessThan">
      <x:formula>0</x:formula>
    </x:cfRule>
    <x:cfRule type="cellIs" dxfId="1" priority="2" operator="greaterThanOrEqual">
      <x:formula>0</x:formula>
    </x:cfRule>
  </x:conditionalFormatting>
  <x:conditionalFormatting sqref="B15:E16">
    <x:cfRule type="expression" dxfId="17" priority="9">
      <x:formula>B15="REVIEW"</x:formula>
    </x:cfRule>
    <x:cfRule type="expression" dxfId="18" priority="10">
      <x:formula>ISNUMBER(B15)</x:formula>
    </x:cfRule>
  </x:conditionalFormatting>
  <x:conditionalFormatting sqref="B19:E19">
    <x:cfRule type="expression" dxfId="19" priority="11">
      <x:formula>B19="REVIEW"</x:formula>
    </x:cfRule>
    <x:cfRule type="expression" dxfId="20" priority="12">
      <x:formula>ISNUMBER(B19)</x:formula>
    </x:cfRule>
  </x:conditionalFormatting>
  <x:conditionalFormatting sqref="F24:G35">
    <x:cfRule type="expression" dxfId="21" priority="13">
      <x:formula>F24="REVIEW"</x:formula>
    </x:cfRule>
    <x:cfRule type="expression" dxfId="22" priority="14">
      <x:formula>ISNUMBER(F24)</x:formula>
    </x:cfRule>
  </x:conditionalFormatting>
  <x:dataValidations count="1">
    <x:dataValidation type="decimal" operator="greaterThanOrEqual" sqref="B12:E13">
      <x:formula1>0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5" hidden="0" customWidth="1"/>
    <x:col min="3" max="3" width="48" hidden="0" customWidth="1"/>
    <x:col min="4" max="4" width="42" hidden="0" customWidth="1"/>
  </x:cols>
  <x:sheetData>
    <x:row r="1" ht="34" customHeight="1">
      <x:c r="A1" s="49" t="str">
        <x:v>MODEL CHECKS</x:v>
      </x:c>
      <x:c r="B1" s="49" t="str">
        <x:v>MODEL CHECKS</x:v>
      </x:c>
      <x:c r="C1" s="49" t="str">
        <x:v>MODEL CHECKS</x:v>
      </x:c>
      <x:c r="D1" s="49" t="str">
        <x:v>MODEL CHECKS</x:v>
      </x:c>
    </x:row>
    <x:row r="2" ht="32" customHeight="1">
      <x:c r="A2" s="35" t="str">
        <x:v>PASS = structural model control; REVIEW = intentionally unresolved input requiring owner update.</x:v>
      </x:c>
      <x:c r="B2" s="35" t="str">
        <x:v>PASS = structural model control; REVIEW = intentionally unresolved input requiring owner update.</x:v>
      </x:c>
      <x:c r="C2" s="35" t="str">
        <x:v>PASS = structural model control; REVIEW = intentionally unresolved input requiring owner update.</x:v>
      </x:c>
      <x:c r="D2" s="35" t="str">
        <x:v>PASS = structural model control; REVIEW = intentionally unresolved input requiring owner update.</x:v>
      </x:c>
    </x:row>
    <x:row r="3" ht="34" customHeight="1">
      <x:c r="A3" s="95" t="str">
        <x:v>MODEL STATUS</x:v>
      </x:c>
      <x:c r="B3" s="96" t="str">
        <x:f>IF(COUNTIF(B5:B11,"REVIEW")=0,"PASS","REVIEW")</x:f>
        <x:v>REVIEW</x:v>
      </x:c>
      <x:c r="C3" s="96" t="str">
        <x:v>Decision use</x:v>
      </x:c>
      <x:c r="D3" s="97" t="str">
        <x:f>IF(B3="PASS","Revenue + contribution sensitivity","Revenue sensitivity only; resolve every REVIEW before forecast use")</x:f>
        <x:v>Revenue sensitivity only; resolve every REVIEW before forecast use</x:v>
      </x:c>
    </x:row>
    <x:row r="4" ht="28" customHeight="1">
      <x:c r="A4" s="80" t="str">
        <x:v>Control</x:v>
      </x:c>
      <x:c r="B4" s="80" t="str">
        <x:v>Status</x:v>
      </x:c>
      <x:c r="C4" s="80" t="str">
        <x:v>Evidence</x:v>
      </x:c>
      <x:c r="D4" s="80" t="str">
        <x:v>Action if not PASS</x:v>
      </x:c>
    </x:row>
    <x:row r="5">
      <x:c r="A5" s="39" t="str">
        <x:v>Conversion assumptions ordered</x:v>
      </x:c>
      <x:c r="B5" s="39" t="str">
        <x:f>IF(AND('Assumptions'!B8&lt;='Assumptions'!B9,'Assumptions'!B9&lt;='Assumptions'!B10,'Assumptions'!B8&gt;=0,'Assumptions'!B10&lt;=1),"PASS","FAIL")</x:f>
        <x:v>PASS</x:v>
      </x:c>
      <x:c r="C5" s="50" t="str">
        <x:v>Low ≤ Base ≤ High and all 0–100%</x:v>
      </x:c>
      <x:c r="D5" s="50" t="str">
        <x:v>Correct Assumptions B8:B10</x:v>
      </x:c>
    </x:row>
    <x:row r="6">
      <x:c r="A6" s="39" t="str">
        <x:v>Infrastructure midpoint valid</x:v>
      </x:c>
      <x:c r="B6" s="39" t="str">
        <x:f>IF(AND('Assumptions'!B14&gt;='Assumptions'!B12,'Assumptions'!B14&lt;='Assumptions'!B13),"PASS","FAIL")</x:f>
        <x:v>PASS</x:v>
      </x:c>
      <x:c r="C6" s="50" t="str">
        <x:v>Midpoint is inside $120–135 authority range</x:v>
      </x:c>
      <x:c r="D6" s="50" t="str">
        <x:v>Correct DD-04 inputs</x:v>
      </x:c>
    </x:row>
    <x:row r="7">
      <x:c r="A7" s="39" t="str">
        <x:v>Scenario add-ons non-negative</x:v>
      </x:c>
      <x:c r="B7" s="39" t="str">
        <x:f>IF(MIN('P&amp;L Model'!B12:E12)&gt;=0,"PASS","FAIL")</x:f>
        <x:v>PASS</x:v>
      </x:c>
      <x:c r="C7" s="50" t="str">
        <x:v>Editable add-ons cannot reduce cost</x:v>
      </x:c>
      <x:c r="D7" s="50" t="str">
        <x:v>Correct P&amp;L row 12</x:v>
      </x:c>
    </x:row>
    <x:row r="8">
      <x:c r="A8" s="39" t="str">
        <x:v>Staging allowances non-negative</x:v>
      </x:c>
      <x:c r="B8" s="39" t="str">
        <x:f>IF(MIN('P&amp;L Model'!B13:E13)&gt;=0,"PASS","FAIL")</x:f>
        <x:v>PASS</x:v>
      </x:c>
      <x:c r="C8" s="50" t="str">
        <x:v>Optional staging input cannot reduce cost</x:v>
      </x:c>
      <x:c r="D8" s="50" t="str">
        <x:v>Correct P&amp;L row 13</x:v>
      </x:c>
    </x:row>
    <x:row r="9">
      <x:c r="A9" s="39" t="str">
        <x:v>Variable provider/support COGS resolved</x:v>
      </x:c>
      <x:c r="B9" s="39" t="str">
        <x:f>IF('Assumptions'!B11&gt;0,"PASS","REVIEW")</x:f>
        <x:v>REVIEW</x:v>
      </x:c>
      <x:c r="C9" s="50" t="str">
        <x:v>Zero is an explicit placeholder, not an estimate</x:v>
      </x:c>
      <x:c r="D9" s="50" t="str">
        <x:v>Update after DD-18/provider terms + telemetry</x:v>
      </x:c>
    </x:row>
    <x:row r="10">
      <x:c r="A10" s="39" t="str">
        <x:v>No host-count capacity rule</x:v>
      </x:c>
      <x:c r="B10" s="39" t="str">
        <x:v>PASS</x:v>
      </x:c>
      <x:c r="C10" s="50" t="str">
        <x:v>Add-ons are blue inputs; host count never chooses a tier</x:v>
      </x:c>
      <x:c r="D10" s="50" t="str">
        <x:v>Keep telemetry-driven sizing</x:v>
      </x:c>
    </x:row>
    <x:row r="11">
      <x:c r="A11" s="39" t="str">
        <x:v>Canonical price</x:v>
      </x:c>
      <x:c r="B11" s="39" t="str">
        <x:f>IF('Assumptions'!B7=250000,"PASS","REVIEW")</x:f>
        <x:v>PASS</x:v>
      </x:c>
      <x:c r="C11" s="50" t="str">
        <x:v>Host Pro = 250,000 VND; Free = 0</x:v>
      </x:c>
      <x:c r="D11" s="50" t="str">
        <x:v>Reconcile DD-29 before changing</x:v>
      </x:c>
    </x:row>
    <x:row r="12">
      <x:c r="A12" s="36"/>
      <x:c r="B12" s="36"/>
      <x:c r="C12" s="36"/>
      <x:c r="D12" s="36"/>
    </x:row>
    <x:row r="13" ht="46" customHeight="1">
      <x:c r="A13" s="46" t="str">
        <x:v>Current model status must remain REVIEW while provider/support COGS is unresolved. Revenue sensitivity is still valid; contribution and margin are deliberately suppressed instead of presenting zero-placeholder economics as a forecast.</x:v>
      </x:c>
      <x:c r="B13" s="47"/>
      <x:c r="C13" s="47"/>
      <x:c r="D13" s="48"/>
    </x:row>
  </x:sheetData>
  <x:mergeCells>
    <x:mergeCell ref="A1:D1"/>
    <x:mergeCell ref="A2:D2"/>
    <x:mergeCell ref="A13:D13"/>
  </x:mergeCells>
  <x:conditionalFormatting sqref="B5:B11">
    <x:cfRule type="containsText" dxfId="2" priority="1" operator="containsText" text="PASS"/>
    <x:cfRule type="containsText" dxfId="3" priority="2" operator="containsText" text="REVIEW"/>
    <x:cfRule type="containsText" dxfId="4" priority="3" operator="containsText" text="FAIL"/>
  </x:conditionalFormatting>
  <x:conditionalFormatting sqref="B3:B3">
    <x:cfRule type="containsText" dxfId="23" priority="4" operator="containsText" text="PASS"/>
    <x:cfRule type="containsText" dxfId="24" priority="5" operator="containsText" text="REVIEW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4" hidden="0" customWidth="1"/>
    <x:col min="2" max="2" width="22" hidden="0" customWidth="1"/>
    <x:col min="3" max="3" width="52" hidden="0" customWidth="1"/>
    <x:col min="4" max="4" width="46" hidden="0" customWidth="1"/>
  </x:cols>
  <x:sheetData>
    <x:row r="1" ht="34" customHeight="1">
      <x:c r="A1" s="49" t="str">
        <x:v>MODEL SOURCES &amp; BOUNDARIES</x:v>
      </x:c>
      <x:c r="B1" s="49" t="str">
        <x:v>MODEL SOURCES &amp; BOUNDARIES</x:v>
      </x:c>
      <x:c r="C1" s="49" t="str">
        <x:v>MODEL SOURCES &amp; BOUNDARIES</x:v>
      </x:c>
      <x:c r="D1" s="49" t="str">
        <x:v>MODEL SOURCES &amp; BOUNDARIES</x:v>
      </x:c>
    </x:row>
    <x:row r="2" ht="32" customHeight="1">
      <x:c r="A2" s="35" t="str">
        <x:v>Internal authority governs scope/pricing; official provider pages anchor infrastructure inputs. Verify dates before procurement.</x:v>
      </x:c>
      <x:c r="B2" s="35" t="str">
        <x:v>Internal authority governs scope/pricing; official provider pages anchor infrastructure inputs. Verify dates before procurement.</x:v>
      </x:c>
      <x:c r="C2" s="35" t="str">
        <x:v>Internal authority governs scope/pricing; official provider pages anchor infrastructure inputs. Verify dates before procurement.</x:v>
      </x:c>
      <x:c r="D2" s="35" t="str">
        <x:v>Internal authority governs scope/pricing; official provider pages anchor infrastructure inputs. Verify dates before procurement.</x:v>
      </x:c>
    </x:row>
    <x:row r="3">
      <x:c r="A3" s="36"/>
      <x:c r="B3" s="36"/>
      <x:c r="C3" s="36"/>
      <x:c r="D3" s="36"/>
    </x:row>
    <x:row r="4" ht="28" customHeight="1">
      <x:c r="A4" s="80" t="str">
        <x:v>Source</x:v>
      </x:c>
      <x:c r="B4" s="80" t="str">
        <x:v>Type</x:v>
      </x:c>
      <x:c r="C4" s="80" t="str">
        <x:v>Used for</x:v>
      </x:c>
      <x:c r="D4" s="80" t="str">
        <x:v>Status / caveat</x:v>
      </x:c>
    </x:row>
    <x:row r="5">
      <x:c r="A5" s="50" t="str">
        <x:v>docs/dd-04-hosting-final-decision.md</x:v>
      </x:c>
      <x:c r="B5" s="50" t="str">
        <x:v>Internal authority</x:v>
      </x:c>
      <x:c r="C5" s="50" t="str">
        <x:v>Day-1 $120–135, staging $8–18, trigger-based upgrades</x:v>
      </x:c>
      <x:c r="D5" s="50" t="str">
        <x:v>Canonical Rev 2</x:v>
      </x:c>
    </x:row>
    <x:row r="6">
      <x:c r="A6" s="50" t="str">
        <x:v>docs/standards/decisions.md — DD-29</x:v>
      </x:c>
      <x:c r="B6" s="50" t="str">
        <x:v>Internal authority</x:v>
      </x:c>
      <x:c r="C6" s="50" t="str">
        <x:v>Free = 0 VND; Host Pro = 250,000 VND/month</x:v>
      </x:c>
      <x:c r="D6" s="50" t="str">
        <x:v>Canonical v1.39 (DD-29 unchanged)</x:v>
      </x:c>
    </x:row>
    <x:row r="7">
      <x:c r="A7" s="50" t="str">
        <x:v>docs/dd-18-llm-provider-analysis.md</x:v>
      </x:c>
      <x:c r="B7" s="50" t="str">
        <x:v>Internal analysis</x:v>
      </x:c>
      <x:c r="C7" s="50" t="str">
        <x:v>Provider/LLM selection boundary</x:v>
      </x:c>
      <x:c r="D7" s="50" t="str">
        <x:v>No defensible per-host COGS yet; zero placeholder retained but contribution/margin outputs are gated as REVIEW</x:v>
      </x:c>
    </x:row>
    <x:row r="8">
      <x:c r="A8" s="50" t="str">
        <x:v>https://docs.digitalocean.com/products/app-platform/details/pricing/</x:v>
      </x:c>
      <x:c r="B8" s="50" t="str">
        <x:v>Official provider</x:v>
      </x:c>
      <x:c r="C8" s="50" t="str">
        <x:v>App Platform compute anchors</x:v>
      </x:c>
      <x:c r="D8" s="50" t="str">
        <x:v>Re-check before procurement</x:v>
      </x:c>
    </x:row>
    <x:row r="9">
      <x:c r="A9" s="50" t="str">
        <x:v>https://docs.digitalocean.com/products/databases/postgresql/details/pricing/</x:v>
      </x:c>
      <x:c r="B9" s="50" t="str">
        <x:v>Official provider</x:v>
      </x:c>
      <x:c r="C9" s="50" t="str">
        <x:v>Managed PostgreSQL primary + standby anchors</x:v>
      </x:c>
      <x:c r="D9" s="50" t="str">
        <x:v>Re-check before procurement</x:v>
      </x:c>
    </x:row>
    <x:row r="10">
      <x:c r="A10" s="50" t="str">
        <x:v>https://docs.digitalocean.com/products/databases/postgresql/how-to/add-read-only-nodes/</x:v>
      </x:c>
      <x:c r="B10" s="50" t="str">
        <x:v>Official provider</x:v>
      </x:c>
      <x:c r="C10" s="50" t="str">
        <x:v>Read-only node is a telemetry-triggered add-on</x:v>
      </x:c>
      <x:c r="D10" s="50" t="str">
        <x:v>Not Day-1 baseline</x:v>
      </x:c>
    </x:row>
    <x:row r="11">
      <x:c r="A11" s="50" t="str">
        <x:v>https://docs.digitalocean.com/products/app-platform/how-to/scale-app/</x:v>
      </x:c>
      <x:c r="B11" s="50" t="str">
        <x:v>Official provider</x:v>
      </x:c>
      <x:c r="C11" s="50" t="str">
        <x:v>Autoscaling capability boundaries</x:v>
      </x:c>
      <x:c r="D11" s="50" t="str">
        <x:v>RPS/p95 shared or dedicated; CPU dedicated</x:v>
      </x:c>
    </x:row>
    <x:row r="12">
      <x:c r="A12" s="50" t="str">
        <x:v>Model policy</x:v>
      </x:c>
      <x:c r="B12" s="50" t="str">
        <x:v>Workbook control</x:v>
      </x:c>
      <x:c r="C12" s="50" t="str">
        <x:v>Host count never maps directly to compute/DB tier</x:v>
      </x:c>
      <x:c r="D12" s="50" t="str">
        <x:v>Use measured concurrency, latency, CPU/I/O, connections, queue lag</x:v>
      </x:c>
    </x:row>
    <x:row r="13">
      <x:c r="A13" s="50" t="str">
        <x:v>Model scope</x:v>
      </x:c>
      <x:c r="B13" s="50" t="str">
        <x:v>Workbook control</x:v>
      </x:c>
      <x:c r="C13" s="50" t="str">
        <x:v>Contribution sensitivity only</x:v>
      </x:c>
      <x:c r="D13" s="50" t="str">
        <x:v>Excludes salaries, tax, acquisition, unresolved payment/provider fees, one-off compliance</x:v>
      </x:c>
    </x:row>
  </x:sheetData>
  <x:mergeCells>
    <x:mergeCell ref="A1:D1"/>
    <x:mergeCell ref="A2:D2"/>
  </x:mergeCells>
  <x:pageMargins left="0.7" right="0.7" top="0.75" bottom="0.75" header="0.3" footer="0.3"/>
</x:worksheet>
</file>
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4" authorId="0">
      <text>
        <r>
          <rPr>
            <sz val="10"/>
            <rFont val="Arial"/>
            <family val="2"/>
          </rPr>
          <t xml:space="preserve">User-set price</t>
        </r>
      </text>
    </comment>
    <comment ref="B5" authorId="0">
      <text>
        <r>
          <rPr>
            <sz val="10"/>
            <rFont val="Arial"/>
            <family val="2"/>
          </rPr>
          <t xml:space="preserve">Source: exchange-rates.org, 14 Jun 2026 ~26,300</t>
        </r>
      </text>
    </comment>
    <comment ref="B9" authorId="0">
      <text>
        <r>
          <rPr>
            <sz val="10"/>
            <rFont val="Arial"/>
            <family val="2"/>
          </rPr>
          <t xml:space="preserve">~2 anh x 13 buoi (generous)</t>
        </r>
      </text>
    </comment>
    <comment ref="B13" authorId="0">
      <text>
        <r>
          <rPr>
            <sz val="10"/>
            <rFont val="Arial"/>
            <family val="2"/>
          </rPr>
          <t xml:space="preserve">Gemini 2.5 Flash $0.30/1M in $2.50/1M out; ~2.5k in+500 out tok</t>
        </r>
      </text>
    </comment>
    <comment ref="B14" authorId="0">
      <text>
        <r>
          <rPr>
            <sz val="10"/>
            <rFont val="Arial"/>
            <family val="2"/>
          </rPr>
          <t xml:space="preserve">Groq whisper-large-v3-turbo $0.04/hr; ~12s</t>
        </r>
      </text>
    </comment>
  </commentList>
</comments>
</file>

<file path=xl/sharedStrings.xml><?xml version="1.0" encoding="utf-8"?>
<sst xmlns="http://schemas.openxmlformats.org/spreadsheetml/2006/main" count="41" uniqueCount="41">
  <si>
    <t xml:space="preserve">SaaS P&amp;L — Assumptions (Badminton Payment Bot)</t>
  </si>
  <si>
    <t xml:space="preserve">PRICING</t>
  </si>
  <si>
    <t xml:space="preserve">Price / tenant (VND/mo)</t>
  </si>
  <si>
    <t xml:space="preserve">FX (USD-&gt;VND)</t>
  </si>
  <si>
    <t xml:space="preserve">Price / tenant (USD/mo)</t>
  </si>
  <si>
    <t xml:space="preserve">USAGE / TENANT / MONTH</t>
  </si>
  <si>
    <t xml:space="preserve">OCR images / mo</t>
  </si>
  <si>
    <t xml:space="preserve">STT commands / mo</t>
  </si>
  <si>
    <t xml:space="preserve">UNIT COST (platform pays)</t>
  </si>
  <si>
    <t xml:space="preserve">OCR $/image</t>
  </si>
  <si>
    <t xml:space="preserve">STT $/command</t>
  </si>
  <si>
    <t xml:space="preserve">DERIVED</t>
  </si>
  <si>
    <t xml:space="preserve">Variable cost / tenant (USD/mo)</t>
  </si>
  <si>
    <t xml:space="preserve">Variable cost / tenant (VND/mo)</t>
  </si>
  <si>
    <t xml:space="preserve">Gross profit / tenant (USD)</t>
  </si>
  <si>
    <t xml:space="preserve">Infra (hosting/Postgres/web/email/monitoring) = STEP cost vs tenant count;</t>
  </si>
  <si>
    <t xml:space="preserve">entered per-scenario on 'P&amp;L' (blue). Web = Telegram-first nen nho (CF Pages</t>
  </si>
  <si>
    <t xml:space="preserve">free / gop vao service bot); chi tach phi khi muon deploy Next.js rieng.</t>
  </si>
  <si>
    <t xml:space="preserve">SaaS P&amp;L by Tenant Count — 99k VND/mo, platform pays LLM/STT</t>
  </si>
  <si>
    <t xml:space="preserve">(figures = monthly unless noted)</t>
  </si>
  <si>
    <t xml:space="preserve">Metric</t>
  </si>
  <si>
    <t xml:space="preserve">Paying tenants</t>
  </si>
  <si>
    <t xml:space="preserve">Price / tenant (VND)</t>
  </si>
  <si>
    <t xml:space="preserve">Revenue (VND/mo)</t>
  </si>
  <si>
    <t xml:space="preserve">Revenue (USD/mo)</t>
  </si>
  <si>
    <t xml:space="preserve">COSTS</t>
  </si>
  <si>
    <t xml:space="preserve">Variable LLM/STT (USD)</t>
  </si>
  <si>
    <t xml:space="preserve">Infra: bot hosting (USD)</t>
  </si>
  <si>
    <t xml:space="preserve">Infra: Postgres (USD)</t>
  </si>
  <si>
    <t xml:space="preserve">Infra: web/dashboard (USD)</t>
  </si>
  <si>
    <t xml:space="preserve">Infra: email (USD)</t>
  </si>
  <si>
    <t xml:space="preserve">Infra: monitoring (USD)</t>
  </si>
  <si>
    <t xml:space="preserve">Infra: domain (USD)</t>
  </si>
  <si>
    <t xml:space="preserve">Infra subtotal (USD)</t>
  </si>
  <si>
    <t xml:space="preserve">Total cost (USD/mo)</t>
  </si>
  <si>
    <t xml:space="preserve">Total cost (VND/mo)</t>
  </si>
  <si>
    <t xml:space="preserve">Net profit (USD/mo)</t>
  </si>
  <si>
    <t xml:space="preserve">Net profit (VND/mo)</t>
  </si>
  <si>
    <t xml:space="preserve">Net margin %</t>
  </si>
  <si>
    <t xml:space="preserve">Net profit (VND/year)</t>
  </si>
  <si>
    <t xml:space="preserve">Break-even (paying tenants to cover smallest infra tier ~$6.25/mo):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</si>
</sst>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#,##0"/>
    <numFmt numFmtId="167" formatCode="\$#,##0.00;&quot;($&quot;#,##0.00\);\-"/>
    <numFmt numFmtId="168" formatCode="\$#,##0.0000"/>
    <numFmt numFmtId="169" formatCode="\$#,##0.00000"/>
    <numFmt numFmtId="170" formatCode="\$#,##0;&quot;($&quot;#,##0\);\-"/>
    <numFmt numFmtId="171" formatCode="0.0%"/>
    <numFmt numFmtId="172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vs Total cost vs Net (USD/mo)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'P&amp;L'!A7</c:f>
              <c:strCache>
                <c:ptCount val="1"/>
                <c:pt idx="0">
                  <c:v>Revenue (USD/mo)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'P&amp;L'!$B$3:$G$3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1,000</c:v>
                </c:pt>
                <c:pt idx="5">
                  <c:v>2,000</c:v>
                </c:pt>
              </c:strCache>
            </c:strRef>
          </c:cat>
          <c:val>
            <c:numRef>
              <c:f>'P&amp;L'!$B$7:$G$7</c:f>
              <c:numCache>
                <c:formatCode>\$#,##0;"($"#,##0\);\-</c:formatCode>
                <c:ptCount val="6"/>
                <c:pt idx="0">
                  <c:v>37.6425855513308</c:v>
                </c:pt>
                <c:pt idx="1">
                  <c:v>188.212927756654</c:v>
                </c:pt>
                <c:pt idx="2">
                  <c:v>376.425855513308</c:v>
                </c:pt>
                <c:pt idx="3">
                  <c:v>1882.12927756654</c:v>
                </c:pt>
                <c:pt idx="4">
                  <c:v>3764.25855513308</c:v>
                </c:pt>
                <c:pt idx="5">
                  <c:v>7528.51711026616</c:v>
                </c:pt>
              </c:numCache>
            </c:numRef>
          </c:val>
        </c:ser>
        <c:ser>
          <c:idx val="1"/>
          <c:order val="1"/>
          <c:tx>
            <c:strRef>
              <c:f>'P&amp;L'!A17</c:f>
              <c:strCache>
                <c:ptCount val="1"/>
                <c:pt idx="0">
                  <c:v>Total cost (USD/mo)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'P&amp;L'!$B$3:$G$3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1,000</c:v>
                </c:pt>
                <c:pt idx="5">
                  <c:v>2,000</c:v>
                </c:pt>
              </c:strCache>
            </c:strRef>
          </c:cat>
          <c:val>
            <c:numRef>
              <c:f>'P&amp;L'!$B$17:$G$17</c:f>
              <c:numCache>
                <c:formatCode>\$#,##0;"($"#,##0\);\-</c:formatCode>
                <c:ptCount val="6"/>
                <c:pt idx="0">
                  <c:v>6.795</c:v>
                </c:pt>
                <c:pt idx="1">
                  <c:v>28.975</c:v>
                </c:pt>
                <c:pt idx="2">
                  <c:v>31.7</c:v>
                </c:pt>
                <c:pt idx="3">
                  <c:v>128.5</c:v>
                </c:pt>
                <c:pt idx="4">
                  <c:v>230.75</c:v>
                </c:pt>
                <c:pt idx="5">
                  <c:v>361.25</c:v>
                </c:pt>
              </c:numCache>
            </c:numRef>
          </c:val>
        </c:ser>
        <c:ser>
          <c:idx val="2"/>
          <c:order val="2"/>
          <c:tx>
            <c:strRef>
              <c:f>'P&amp;L'!A19</c:f>
              <c:strCache>
                <c:ptCount val="1"/>
                <c:pt idx="0">
                  <c:v>Net profit (USD/mo)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'P&amp;L'!$B$3:$G$3</c:f>
              <c:strCach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1,000</c:v>
                </c:pt>
                <c:pt idx="5">
                  <c:v>2,000</c:v>
                </c:pt>
              </c:strCache>
            </c:strRef>
          </c:cat>
          <c:val>
            <c:numRef>
              <c:f>'P&amp;L'!$B$19:$G$19</c:f>
              <c:numCache>
                <c:formatCode>\$#,##0;"($"#,##0\);\-</c:formatCode>
                <c:ptCount val="6"/>
                <c:pt idx="0">
                  <c:v>30.8475855513308</c:v>
                </c:pt>
                <c:pt idx="1">
                  <c:v>159.237927756654</c:v>
                </c:pt>
                <c:pt idx="2">
                  <c:v>344.725855513308</c:v>
                </c:pt>
                <c:pt idx="3">
                  <c:v>1753.62927756654</c:v>
                </c:pt>
                <c:pt idx="4">
                  <c:v>3533.50855513308</c:v>
                </c:pt>
                <c:pt idx="5">
                  <c:v>7167.26711026616</c:v>
                </c:pt>
              </c:numCache>
            </c:numRef>
          </c:val>
        </c:ser>
        <c:gapWidth val="150"/>
        <c:overlap val="0"/>
        <c:axId val="4174805"/>
        <c:axId val="50332819"/>
      </c:barChart>
      <c:catAx>
        <c:axId val="41748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Paying tenants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332819"/>
        <c:crosses val="autoZero"/>
        <c:auto val="1"/>
        <c:lblAlgn val="ctr"/>
        <c:lblOffset val="100"/>
        <c:noMultiLvlLbl val="0"/>
      </c:catAx>
      <c:valAx>
        <c:axId val="50332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USD/mo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48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7</xdr:col>
      <xdr:colOff>518760</xdr:colOff>
      <xdr:row>43</xdr:row>
      <xdr:rowOff>1080</xdr:rowOff>
    </xdr:to>
    <xdr:graphicFrame>
      <xdr:nvGraphicFramePr>
        <xdr:cNvPr id="1" name="Chart 1"/>
        <xdr:cNvGraphicFramePr/>
      </xdr:nvGraphicFramePr>
      <xdr:xfrm>
        <a:off x="0" y="49827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99000</v>
      </c>
    </row>
    <row r="5" customFormat="false" ht="15" hidden="false" customHeight="false" outlineLevel="0" collapsed="false">
      <c r="A5" s="3" t="s">
        <v>3</v>
      </c>
      <c r="B5" s="5" t="n">
        <v>26300</v>
      </c>
    </row>
    <row r="6" customFormat="false" ht="15" hidden="false" customHeight="false" outlineLevel="0" collapsed="false">
      <c r="A6" s="3" t="s">
        <v>4</v>
      </c>
      <c r="B6" s="6" t="n">
        <f aca="false">B4/B5</f>
        <v>3.76425855513308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  <c r="B9" s="7" t="n">
        <v>25</v>
      </c>
    </row>
    <row r="10" customFormat="false" ht="15" hidden="false" customHeight="false" outlineLevel="0" collapsed="false">
      <c r="A10" s="3" t="s">
        <v>7</v>
      </c>
      <c r="B10" s="7" t="n">
        <v>30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3" t="s">
        <v>9</v>
      </c>
      <c r="B13" s="8" t="n">
        <v>0.002</v>
      </c>
    </row>
    <row r="14" customFormat="false" ht="15" hidden="false" customHeight="false" outlineLevel="0" collapsed="false">
      <c r="A14" s="3" t="s">
        <v>10</v>
      </c>
      <c r="B14" s="9" t="n">
        <v>0.00015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3" t="s">
        <v>12</v>
      </c>
      <c r="B17" s="6" t="n">
        <f aca="false">B9*B13+B10*B14</f>
        <v>0.0545</v>
      </c>
    </row>
    <row r="18" customFormat="false" ht="15" hidden="false" customHeight="false" outlineLevel="0" collapsed="false">
      <c r="A18" s="3" t="s">
        <v>13</v>
      </c>
      <c r="B18" s="10" t="n">
        <f aca="false">B17*B5</f>
        <v>1433.35</v>
      </c>
    </row>
    <row r="19" customFormat="false" ht="15" hidden="false" customHeight="false" outlineLevel="0" collapsed="false">
      <c r="A19" s="3" t="s">
        <v>14</v>
      </c>
      <c r="B19" s="6" t="n">
        <f aca="false">B6-B17</f>
        <v>3.70975855513308</v>
      </c>
    </row>
    <row r="21" customFormat="false" ht="15" hidden="false" customHeight="false" outlineLevel="0" collapsed="false">
      <c r="A21" s="11" t="s">
        <v>15</v>
      </c>
    </row>
    <row r="22" customFormat="false" ht="15" hidden="false" customHeight="false" outlineLevel="0" collapsed="false">
      <c r="A22" s="11" t="s">
        <v>16</v>
      </c>
    </row>
    <row r="23" customFormat="false" ht="15" hidden="false" customHeight="false" outlineLevel="0" collapsed="false">
      <c r="A23" s="1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11" t="s">
        <v>19</v>
      </c>
    </row>
    <row r="3" customFormat="false" ht="15" hidden="false" customHeight="false" outlineLevel="0" collapsed="false">
      <c r="A3" s="12" t="s">
        <v>20</v>
      </c>
      <c r="B3" s="13" t="n">
        <v>10</v>
      </c>
      <c r="C3" s="13" t="n">
        <v>50</v>
      </c>
      <c r="D3" s="13" t="n">
        <v>100</v>
      </c>
      <c r="E3" s="13" t="n">
        <v>500</v>
      </c>
      <c r="F3" s="13" t="n">
        <v>1000</v>
      </c>
      <c r="G3" s="13" t="n">
        <v>2000</v>
      </c>
    </row>
    <row r="4" customFormat="false" ht="15" hidden="false" customHeight="false" outlineLevel="0" collapsed="false">
      <c r="A4" s="3" t="s">
        <v>21</v>
      </c>
      <c r="B4" s="14" t="n">
        <v>10</v>
      </c>
      <c r="C4" s="14" t="n">
        <v>50</v>
      </c>
      <c r="D4" s="14" t="n">
        <v>100</v>
      </c>
      <c r="E4" s="14" t="n">
        <v>500</v>
      </c>
      <c r="F4" s="14" t="n">
        <v>1000</v>
      </c>
      <c r="G4" s="14" t="n">
        <v>2000</v>
      </c>
    </row>
    <row r="5" customFormat="false" ht="15" hidden="false" customHeight="false" outlineLevel="0" collapsed="false">
      <c r="A5" s="3" t="s">
        <v>22</v>
      </c>
      <c r="B5" s="15" t="n">
        <f aca="false">Assumptions!$B$4</f>
        <v>99000</v>
      </c>
      <c r="C5" s="15" t="n">
        <f aca="false">Assumptions!$B$4</f>
        <v>99000</v>
      </c>
      <c r="D5" s="15" t="n">
        <f aca="false">Assumptions!$B$4</f>
        <v>99000</v>
      </c>
      <c r="E5" s="15" t="n">
        <f aca="false">Assumptions!$B$4</f>
        <v>99000</v>
      </c>
      <c r="F5" s="15" t="n">
        <f aca="false">Assumptions!$B$4</f>
        <v>99000</v>
      </c>
      <c r="G5" s="15" t="n">
        <f aca="false">Assumptions!$B$4</f>
        <v>99000</v>
      </c>
    </row>
    <row r="6" customFormat="false" ht="15" hidden="false" customHeight="false" outlineLevel="0" collapsed="false">
      <c r="A6" s="2" t="s">
        <v>23</v>
      </c>
      <c r="B6" s="16" t="n">
        <f aca="false">B4*B5</f>
        <v>990000</v>
      </c>
      <c r="C6" s="16" t="n">
        <f aca="false">C4*C5</f>
        <v>4950000</v>
      </c>
      <c r="D6" s="16" t="n">
        <f aca="false">D4*D5</f>
        <v>9900000</v>
      </c>
      <c r="E6" s="16" t="n">
        <f aca="false">E4*E5</f>
        <v>49500000</v>
      </c>
      <c r="F6" s="16" t="n">
        <f aca="false">F4*F5</f>
        <v>99000000</v>
      </c>
      <c r="G6" s="16" t="n">
        <f aca="false">G4*G5</f>
        <v>198000000</v>
      </c>
    </row>
    <row r="7" customFormat="false" ht="15" hidden="false" customHeight="false" outlineLevel="0" collapsed="false">
      <c r="A7" s="2" t="s">
        <v>24</v>
      </c>
      <c r="B7" s="17" t="n">
        <f aca="false">B6/Assumptions!$B$5</f>
        <v>37.6425855513308</v>
      </c>
      <c r="C7" s="17" t="n">
        <f aca="false">C6/Assumptions!$B$5</f>
        <v>188.212927756654</v>
      </c>
      <c r="D7" s="17" t="n">
        <f aca="false">D6/Assumptions!$B$5</f>
        <v>376.425855513308</v>
      </c>
      <c r="E7" s="17" t="n">
        <f aca="false">E6/Assumptions!$B$5</f>
        <v>1882.12927756654</v>
      </c>
      <c r="F7" s="17" t="n">
        <f aca="false">F6/Assumptions!$B$5</f>
        <v>3764.25855513308</v>
      </c>
      <c r="G7" s="17" t="n">
        <f aca="false">G6/Assumptions!$B$5</f>
        <v>7528.51711026616</v>
      </c>
    </row>
    <row r="8" customFormat="false" ht="15" hidden="false" customHeight="false" outlineLevel="0" collapsed="false">
      <c r="A8" s="18" t="s">
        <v>25</v>
      </c>
      <c r="B8" s="19"/>
      <c r="C8" s="19"/>
      <c r="D8" s="19"/>
      <c r="E8" s="19"/>
      <c r="F8" s="19"/>
      <c r="G8" s="19"/>
    </row>
    <row r="9" customFormat="false" ht="15" hidden="false" customHeight="false" outlineLevel="0" collapsed="false">
      <c r="A9" s="3" t="s">
        <v>26</v>
      </c>
      <c r="B9" s="20" t="n">
        <f aca="false">B4*Assumptions!$B$17</f>
        <v>0.545</v>
      </c>
      <c r="C9" s="20" t="n">
        <f aca="false">C4*Assumptions!$B$17</f>
        <v>2.725</v>
      </c>
      <c r="D9" s="20" t="n">
        <f aca="false">D4*Assumptions!$B$17</f>
        <v>5.45</v>
      </c>
      <c r="E9" s="20" t="n">
        <f aca="false">E4*Assumptions!$B$17</f>
        <v>27.25</v>
      </c>
      <c r="F9" s="20" t="n">
        <f aca="false">F4*Assumptions!$B$17</f>
        <v>54.5</v>
      </c>
      <c r="G9" s="20" t="n">
        <f aca="false">G4*Assumptions!$B$17</f>
        <v>109</v>
      </c>
    </row>
    <row r="10" customFormat="false" ht="15" hidden="false" customHeight="false" outlineLevel="0" collapsed="false">
      <c r="A10" s="3" t="s">
        <v>27</v>
      </c>
      <c r="B10" s="21" t="n">
        <v>5</v>
      </c>
      <c r="C10" s="21" t="n">
        <v>20</v>
      </c>
      <c r="D10" s="21" t="n">
        <v>20</v>
      </c>
      <c r="E10" s="21" t="n">
        <v>45</v>
      </c>
      <c r="F10" s="21" t="n">
        <v>90</v>
      </c>
      <c r="G10" s="21" t="n">
        <v>90</v>
      </c>
    </row>
    <row r="11" customFormat="false" ht="15" hidden="false" customHeight="false" outlineLevel="0" collapsed="false">
      <c r="A11" s="3" t="s">
        <v>28</v>
      </c>
      <c r="B11" s="21" t="n">
        <v>0</v>
      </c>
      <c r="C11" s="21" t="n">
        <v>5</v>
      </c>
      <c r="D11" s="21" t="n">
        <v>5</v>
      </c>
      <c r="E11" s="21" t="n">
        <v>20</v>
      </c>
      <c r="F11" s="21" t="n">
        <v>50</v>
      </c>
      <c r="G11" s="21" t="n">
        <v>90</v>
      </c>
    </row>
    <row r="12" customFormat="false" ht="15" hidden="false" customHeight="false" outlineLevel="0" collapsed="false">
      <c r="A12" s="3" t="s">
        <v>29</v>
      </c>
      <c r="B12" s="21" t="n">
        <v>0</v>
      </c>
      <c r="C12" s="21" t="n">
        <v>0</v>
      </c>
      <c r="D12" s="21" t="n">
        <v>0</v>
      </c>
      <c r="E12" s="21" t="n">
        <v>5</v>
      </c>
      <c r="F12" s="21" t="n">
        <v>5</v>
      </c>
      <c r="G12" s="21" t="n">
        <v>10</v>
      </c>
    </row>
    <row r="13" customFormat="false" ht="15" hidden="false" customHeight="false" outlineLevel="0" collapsed="false">
      <c r="A13" s="3" t="s">
        <v>30</v>
      </c>
      <c r="B13" s="21" t="n">
        <v>0</v>
      </c>
      <c r="C13" s="21" t="n">
        <v>0</v>
      </c>
      <c r="D13" s="21" t="n">
        <v>0</v>
      </c>
      <c r="E13" s="21" t="n">
        <v>20</v>
      </c>
      <c r="F13" s="21" t="n">
        <v>20</v>
      </c>
      <c r="G13" s="21" t="n">
        <v>35</v>
      </c>
    </row>
    <row r="14" customFormat="false" ht="15" hidden="false" customHeight="false" outlineLevel="0" collapsed="false">
      <c r="A14" s="3" t="s">
        <v>31</v>
      </c>
      <c r="B14" s="21" t="n">
        <v>0</v>
      </c>
      <c r="C14" s="21" t="n">
        <v>0</v>
      </c>
      <c r="D14" s="21" t="n">
        <v>0</v>
      </c>
      <c r="E14" s="21" t="n">
        <v>10</v>
      </c>
      <c r="F14" s="21" t="n">
        <v>10</v>
      </c>
      <c r="G14" s="21" t="n">
        <v>26</v>
      </c>
    </row>
    <row r="15" customFormat="false" ht="15" hidden="false" customHeight="false" outlineLevel="0" collapsed="false">
      <c r="A15" s="3" t="s">
        <v>32</v>
      </c>
      <c r="B15" s="21" t="n">
        <v>1.25</v>
      </c>
      <c r="C15" s="21" t="n">
        <v>1.25</v>
      </c>
      <c r="D15" s="21" t="n">
        <v>1.25</v>
      </c>
      <c r="E15" s="21" t="n">
        <v>1.25</v>
      </c>
      <c r="F15" s="21" t="n">
        <v>1.25</v>
      </c>
      <c r="G15" s="21" t="n">
        <v>1.25</v>
      </c>
    </row>
    <row r="16" customFormat="false" ht="15" hidden="false" customHeight="false" outlineLevel="0" collapsed="false">
      <c r="A16" s="3" t="s">
        <v>33</v>
      </c>
      <c r="B16" s="22" t="n">
        <f aca="false">SUM(B10:B15)</f>
        <v>6.25</v>
      </c>
      <c r="C16" s="22" t="n">
        <f aca="false">SUM(C10:C15)</f>
        <v>26.25</v>
      </c>
      <c r="D16" s="22" t="n">
        <f aca="false">SUM(D10:D15)</f>
        <v>26.25</v>
      </c>
      <c r="E16" s="22" t="n">
        <f aca="false">SUM(E10:E15)</f>
        <v>101.25</v>
      </c>
      <c r="F16" s="22" t="n">
        <f aca="false">SUM(F10:F15)</f>
        <v>176.25</v>
      </c>
      <c r="G16" s="22" t="n">
        <f aca="false">SUM(G10:G15)</f>
        <v>252.25</v>
      </c>
    </row>
    <row r="17" customFormat="false" ht="15" hidden="false" customHeight="false" outlineLevel="0" collapsed="false">
      <c r="A17" s="2" t="s">
        <v>34</v>
      </c>
      <c r="B17" s="17" t="n">
        <f aca="false">B9+B16</f>
        <v>6.795</v>
      </c>
      <c r="C17" s="17" t="n">
        <f aca="false">C9+C16</f>
        <v>28.975</v>
      </c>
      <c r="D17" s="17" t="n">
        <f aca="false">D9+D16</f>
        <v>31.7</v>
      </c>
      <c r="E17" s="17" t="n">
        <f aca="false">E9+E16</f>
        <v>128.5</v>
      </c>
      <c r="F17" s="17" t="n">
        <f aca="false">F9+F16</f>
        <v>230.75</v>
      </c>
      <c r="G17" s="17" t="n">
        <f aca="false">G9+G16</f>
        <v>361.25</v>
      </c>
    </row>
    <row r="18" customFormat="false" ht="15" hidden="false" customHeight="false" outlineLevel="0" collapsed="false">
      <c r="A18" s="3" t="s">
        <v>35</v>
      </c>
      <c r="B18" s="23" t="n">
        <f aca="false">B17*Assumptions!$B$5</f>
        <v>178708.5</v>
      </c>
      <c r="C18" s="23" t="n">
        <f aca="false">C17*Assumptions!$B$5</f>
        <v>762042.5</v>
      </c>
      <c r="D18" s="23" t="n">
        <f aca="false">D17*Assumptions!$B$5</f>
        <v>833710</v>
      </c>
      <c r="E18" s="23" t="n">
        <f aca="false">E17*Assumptions!$B$5</f>
        <v>3379550</v>
      </c>
      <c r="F18" s="23" t="n">
        <f aca="false">F17*Assumptions!$B$5</f>
        <v>6068725</v>
      </c>
      <c r="G18" s="23" t="n">
        <f aca="false">G17*Assumptions!$B$5</f>
        <v>9500875</v>
      </c>
    </row>
    <row r="19" customFormat="false" ht="15" hidden="false" customHeight="false" outlineLevel="0" collapsed="false">
      <c r="A19" s="2" t="s">
        <v>36</v>
      </c>
      <c r="B19" s="24" t="n">
        <f aca="false">B7-B17</f>
        <v>30.8475855513308</v>
      </c>
      <c r="C19" s="24" t="n">
        <f aca="false">C7-C17</f>
        <v>159.237927756654</v>
      </c>
      <c r="D19" s="24" t="n">
        <f aca="false">D7-D17</f>
        <v>344.725855513308</v>
      </c>
      <c r="E19" s="24" t="n">
        <f aca="false">E7-E17</f>
        <v>1753.62927756654</v>
      </c>
      <c r="F19" s="24" t="n">
        <f aca="false">F7-F17</f>
        <v>3533.50855513308</v>
      </c>
      <c r="G19" s="24" t="n">
        <f aca="false">G7-G17</f>
        <v>7167.26711026616</v>
      </c>
    </row>
    <row r="20" customFormat="false" ht="15" hidden="false" customHeight="false" outlineLevel="0" collapsed="false">
      <c r="A20" s="2" t="s">
        <v>37</v>
      </c>
      <c r="B20" s="25" t="n">
        <f aca="false">B6-B18</f>
        <v>811291.5</v>
      </c>
      <c r="C20" s="25" t="n">
        <f aca="false">C6-C18</f>
        <v>4187957.5</v>
      </c>
      <c r="D20" s="25" t="n">
        <f aca="false">D6-D18</f>
        <v>9066290</v>
      </c>
      <c r="E20" s="25" t="n">
        <f aca="false">E6-E18</f>
        <v>46120450</v>
      </c>
      <c r="F20" s="25" t="n">
        <f aca="false">F6-F18</f>
        <v>92931275</v>
      </c>
      <c r="G20" s="25" t="n">
        <f aca="false">G6-G18</f>
        <v>188499125</v>
      </c>
    </row>
    <row r="21" customFormat="false" ht="15" hidden="false" customHeight="false" outlineLevel="0" collapsed="false">
      <c r="A21" s="2" t="s">
        <v>38</v>
      </c>
      <c r="B21" s="26" t="n">
        <f aca="false">B19/B7</f>
        <v>0.819486363636364</v>
      </c>
      <c r="C21" s="26" t="n">
        <f aca="false">C19/C7</f>
        <v>0.84605202020202</v>
      </c>
      <c r="D21" s="26" t="n">
        <f aca="false">D19/D7</f>
        <v>0.915786868686869</v>
      </c>
      <c r="E21" s="26" t="n">
        <f aca="false">E19/E7</f>
        <v>0.931726262626263</v>
      </c>
      <c r="F21" s="26" t="n">
        <f aca="false">F19/F7</f>
        <v>0.938699747474748</v>
      </c>
      <c r="G21" s="26" t="n">
        <f aca="false">G19/G7</f>
        <v>0.952015782828283</v>
      </c>
    </row>
    <row r="22" customFormat="false" ht="15" hidden="false" customHeight="false" outlineLevel="0" collapsed="false">
      <c r="A22" s="2" t="s">
        <v>39</v>
      </c>
      <c r="B22" s="25" t="n">
        <f aca="false">B20*12</f>
        <v>9735498</v>
      </c>
      <c r="C22" s="25" t="n">
        <f aca="false">C20*12</f>
        <v>50255490</v>
      </c>
      <c r="D22" s="25" t="n">
        <f aca="false">D20*12</f>
        <v>108795480</v>
      </c>
      <c r="E22" s="25" t="n">
        <f aca="false">E20*12</f>
        <v>553445400</v>
      </c>
      <c r="F22" s="25" t="n">
        <f aca="false">F20*12</f>
        <v>1115175300</v>
      </c>
      <c r="G22" s="25" t="n">
        <f aca="false">G20*12</f>
        <v>2261989500</v>
      </c>
    </row>
    <row r="24" customFormat="false" ht="15" hidden="false" customHeight="false" outlineLevel="0" collapsed="false">
      <c r="A24" s="11" t="s">
        <v>40</v>
      </c>
      <c r="B24" s="27" t="n">
        <f aca="false">6.25/(Assumptions!$B$6-Assumptions!$B$17)</f>
        <v>1.68474576097468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2026-06-14T08:34:50Z</dcterms:created>
  <dc:creator>openpyxl</dc:creator>
  <dc:description/>
  <dc:language>en-US</dc:language>
  <cp:lastModifiedBy/>
  <dcterms:modified xsi:type="dcterms:W3CDTF">2026-06-14T08:34:51Z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